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2C9F43A-9AB5-4472-9BEA-66C2B9601161}" xr6:coauthVersionLast="47" xr6:coauthVersionMax="47" xr10:uidLastSave="{00000000-0000-0000-0000-000000000000}"/>
  <bookViews>
    <workbookView xWindow="1065" yWindow="6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1" i="1" l="1"/>
  <c r="M260" i="1"/>
  <c r="M289" i="1"/>
  <c r="M288" i="1"/>
  <c r="M253" i="1" l="1"/>
  <c r="M254" i="1"/>
  <c r="M245" i="1"/>
  <c r="M244" i="1"/>
  <c r="M211" i="1"/>
  <c r="M210" i="1"/>
  <c r="M158" i="1"/>
  <c r="M157" i="1"/>
  <c r="M149" i="1"/>
  <c r="M148" i="1"/>
  <c r="M135" i="1"/>
  <c r="M134" i="1"/>
  <c r="M114" i="1"/>
  <c r="M113" i="1"/>
  <c r="M78" i="1"/>
  <c r="M77" i="1"/>
  <c r="M50" i="1"/>
  <c r="M49" i="1"/>
  <c r="M39" i="1"/>
  <c r="M38" i="1"/>
  <c r="M3" i="1"/>
  <c r="O2" i="1" s="1"/>
  <c r="M2" i="1"/>
  <c r="M14" i="1"/>
  <c r="M13" i="1"/>
  <c r="O260" i="1" l="1"/>
  <c r="O244" i="1"/>
  <c r="O210" i="1"/>
  <c r="O157" i="1"/>
  <c r="O148" i="1"/>
  <c r="O134" i="1"/>
  <c r="O113" i="1"/>
  <c r="O77" i="1"/>
  <c r="O49" i="1"/>
  <c r="O38" i="1"/>
  <c r="O13" i="1"/>
  <c r="O253" i="1"/>
  <c r="O288" i="1"/>
</calcChain>
</file>

<file path=xl/sharedStrings.xml><?xml version="1.0" encoding="utf-8"?>
<sst xmlns="http://schemas.openxmlformats.org/spreadsheetml/2006/main" count="1850" uniqueCount="501">
  <si>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</si>
  <si>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</si>
  <si>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</si>
  <si>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</si>
  <si>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</si>
  <si>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</si>
  <si>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</si>
  <si>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</si>
  <si>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</si>
  <si>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</si>
  <si>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2025-08-18</t>
  </si>
  <si>
    <t>2025-08-18 13:55</t>
  </si>
  <si>
    <t>COM7.BK</t>
  </si>
  <si>
    <t>VOLUME_SPIKE</t>
  </si>
  <si>
    <t>Vol 413,200 &gt; 3.0×avg(20) ~ 80,843</t>
  </si>
  <si>
    <t>PRICE_VOLUME_DIVERGENCE</t>
  </si>
  <si>
    <t>|ret| 0.0000% &lt; 0.15% + volume spike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</si>
  <si>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</si>
  <si>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</si>
  <si>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</si>
  <si>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</si>
  <si>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</si>
  <si>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</si>
  <si>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</si>
  <si>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</si>
  <si>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VOLATILITY_BREAK</t>
  </si>
  <si>
    <t>TR 0.3000 &gt; 2.0×ATR(20) 0.1250</t>
  </si>
  <si>
    <t>2025-08-19</t>
  </si>
  <si>
    <t>2025-08-19 12:10</t>
  </si>
  <si>
    <t>Vol 612,945 &gt; 3.0×avg(20) ~ 93,958</t>
  </si>
  <si>
    <t>TR 0.3000 &gt; 2.0×ATR(20) 0.1000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</si>
  <si>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</si>
  <si>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</si>
  <si>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</si>
  <si>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</si>
  <si>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</si>
  <si>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</si>
  <si>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TR 0.2000 &gt; 2.0×ATR(20) 0.0950</t>
  </si>
  <si>
    <t>2025-08-20</t>
  </si>
  <si>
    <t>2025-08-20 10:00</t>
  </si>
  <si>
    <t>TR 0.3000 &gt; 2.0×ATR(20) 0.1200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</si>
  <si>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</si>
  <si>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</si>
  <si>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</si>
  <si>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</si>
  <si>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</si>
  <si>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</si>
  <si>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</si>
  <si>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</si>
  <si>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</si>
  <si>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</si>
  <si>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</si>
  <si>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</si>
  <si>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</si>
  <si>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</si>
  <si>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</si>
  <si>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</si>
  <si>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</si>
  <si>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</si>
  <si>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</si>
  <si>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</si>
  <si>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</si>
  <si>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</si>
  <si>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</si>
  <si>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</si>
  <si>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</si>
  <si>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</si>
  <si>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</si>
  <si>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</si>
  <si>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</si>
  <si>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</si>
  <si>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</si>
  <si>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</si>
  <si>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</si>
  <si>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</si>
  <si>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</si>
  <si>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</si>
  <si>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</si>
  <si>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</si>
  <si>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</si>
  <si>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</si>
  <si>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</si>
  <si>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</si>
  <si>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</si>
  <si>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</si>
  <si>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</si>
  <si>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</si>
  <si>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</si>
  <si>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</si>
  <si>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</si>
  <si>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</si>
  <si>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</si>
  <si>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</si>
  <si>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</si>
  <si>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</si>
  <si>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</si>
  <si>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</si>
  <si>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</si>
  <si>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</si>
  <si>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</si>
  <si>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</si>
  <si>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</si>
  <si>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</si>
  <si>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</si>
  <si>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</si>
  <si>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</si>
  <si>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</si>
  <si>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</si>
  <si>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</si>
  <si>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</si>
  <si>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</si>
  <si>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</si>
  <si>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</si>
  <si>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</si>
  <si>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</si>
  <si>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</si>
  <si>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</si>
  <si>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</si>
  <si>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</si>
  <si>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</si>
  <si>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</si>
  <si>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</si>
  <si>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</si>
  <si>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</si>
  <si>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</si>
  <si>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</si>
  <si>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</si>
  <si>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</si>
  <si>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</si>
  <si>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</si>
  <si>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</si>
  <si>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</si>
  <si>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</si>
  <si>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</si>
  <si>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</si>
  <si>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</si>
  <si>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</si>
  <si>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</si>
  <si>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</si>
  <si>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</si>
  <si>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</si>
  <si>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</si>
  <si>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</si>
  <si>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</si>
  <si>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</si>
  <si>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</si>
  <si>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</si>
  <si>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</si>
  <si>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</si>
  <si>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</si>
  <si>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</si>
  <si>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</si>
  <si>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</si>
  <si>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</si>
  <si>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</si>
  <si>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</si>
  <si>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</si>
  <si>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</si>
  <si>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</si>
  <si>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</si>
  <si>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</si>
  <si>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</si>
  <si>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</si>
  <si>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</si>
  <si>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</si>
  <si>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</si>
  <si>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</si>
  <si>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</si>
  <si>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</si>
  <si>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</si>
  <si>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</si>
  <si>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</si>
  <si>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</si>
  <si>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</si>
  <si>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</si>
  <si>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</si>
  <si>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</si>
  <si>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</si>
  <si>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</si>
  <si>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</si>
  <si>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</si>
  <si>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</si>
  <si>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</si>
  <si>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</si>
  <si>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</si>
  <si>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</si>
  <si>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</si>
  <si>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</si>
  <si>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</si>
  <si>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</si>
  <si>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</si>
  <si>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</si>
  <si>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</si>
  <si>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</si>
  <si>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</si>
  <si>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</si>
  <si>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</si>
  <si>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</si>
  <si>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</si>
  <si>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</si>
  <si>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</si>
  <si>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</si>
  <si>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</si>
  <si>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</si>
  <si>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</si>
  <si>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</si>
  <si>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</si>
  <si>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</si>
  <si>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</si>
  <si>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</si>
  <si>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</si>
  <si>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</si>
  <si>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</si>
  <si>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</si>
  <si>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</si>
  <si>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</si>
  <si>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</si>
  <si>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</si>
  <si>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</si>
  <si>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</si>
  <si>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</si>
  <si>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</si>
  <si>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</si>
  <si>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</si>
  <si>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</si>
  <si>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</si>
  <si>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</si>
  <si>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</si>
  <si>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</si>
  <si>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</si>
  <si>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</si>
  <si>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</si>
  <si>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</si>
  <si>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</si>
  <si>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</si>
  <si>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</si>
  <si>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</si>
  <si>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</si>
  <si>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</si>
  <si>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</si>
  <si>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</si>
  <si>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</si>
  <si>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</si>
  <si>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</si>
  <si>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</si>
  <si>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</si>
  <si>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</si>
  <si>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</si>
  <si>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</si>
  <si>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</si>
  <si>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</si>
  <si>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</si>
  <si>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</si>
  <si>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</si>
  <si>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</si>
  <si>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</si>
  <si>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</si>
  <si>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</si>
  <si>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</si>
  <si>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</si>
  <si>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</si>
  <si>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</si>
  <si>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</si>
  <si>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</si>
  <si>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</si>
  <si>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</si>
  <si>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</si>
  <si>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</si>
  <si>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</si>
  <si>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</si>
  <si>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</si>
  <si>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</si>
  <si>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</si>
  <si>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</si>
  <si>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</si>
  <si>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</si>
  <si>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</si>
  <si>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</si>
  <si>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</si>
  <si>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</si>
  <si>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</si>
  <si>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</si>
  <si>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</si>
  <si>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</si>
  <si>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</si>
  <si>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</si>
  <si>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</si>
  <si>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</si>
  <si>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</si>
  <si>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</si>
  <si>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</si>
  <si>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</si>
  <si>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</si>
  <si>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</si>
  <si>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</si>
  <si>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</si>
  <si>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</si>
  <si>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</si>
  <si>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</si>
  <si>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</si>
  <si>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</si>
  <si>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</si>
  <si>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</si>
  <si>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</si>
  <si>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</si>
  <si>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</si>
  <si>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</si>
  <si>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</si>
  <si>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</si>
  <si>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</si>
  <si>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</si>
  <si>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</si>
  <si>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</si>
  <si>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</si>
  <si>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</si>
  <si>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</si>
  <si>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</si>
  <si>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</si>
  <si>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</si>
  <si>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</si>
  <si>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</si>
  <si>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</si>
  <si>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</si>
  <si>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</si>
  <si>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</si>
  <si>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</si>
  <si>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</si>
  <si>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</si>
  <si>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</si>
  <si>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</si>
  <si>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</si>
  <si>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</si>
  <si>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</si>
  <si>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</si>
  <si>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</si>
  <si>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</si>
  <si>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</si>
  <si>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</si>
  <si>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</si>
  <si>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</si>
  <si>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</si>
  <si>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</si>
  <si>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</si>
  <si>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</si>
  <si>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</si>
  <si>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</si>
  <si>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</si>
  <si>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</si>
  <si>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</si>
  <si>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</si>
  <si>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</si>
  <si>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</si>
  <si>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</si>
  <si>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</si>
  <si>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</si>
  <si>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</si>
  <si>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</si>
  <si>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</si>
  <si>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</si>
  <si>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</si>
  <si>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</si>
  <si>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</si>
  <si>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</si>
  <si>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</si>
  <si>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</si>
  <si>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</si>
  <si>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</si>
  <si>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</si>
  <si>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</si>
  <si>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</si>
  <si>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</si>
  <si>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</si>
  <si>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</si>
  <si>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</si>
  <si>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</si>
  <si>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</si>
  <si>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</si>
  <si>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</si>
  <si>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</si>
  <si>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</si>
  <si>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</si>
  <si>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</si>
  <si>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</si>
  <si>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</si>
  <si>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</si>
  <si>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</si>
  <si>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</si>
  <si>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</si>
  <si>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</si>
  <si>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</si>
  <si>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</si>
  <si>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</si>
  <si>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</si>
  <si>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</si>
  <si>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</si>
  <si>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</si>
  <si>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</si>
  <si>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</si>
  <si>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</si>
  <si>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</si>
  <si>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</si>
  <si>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</si>
  <si>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</si>
  <si>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</si>
  <si>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</si>
  <si>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</si>
  <si>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</si>
  <si>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</si>
  <si>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</si>
  <si>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</si>
  <si>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2025-09-23 14:00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</si>
  <si>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</si>
  <si>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</si>
  <si>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</si>
  <si>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</si>
  <si>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</si>
  <si>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</si>
  <si>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</si>
  <si>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</si>
  <si>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</si>
  <si>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</si>
  <si>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</si>
  <si>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</si>
  <si>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</si>
  <si>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</si>
  <si>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</t>
  </si>
  <si>
    <t>2025-09-24 10:00</t>
  </si>
  <si>
    <t>TR 0.5500 &gt; 2.0×ATR(20) 0.1425</t>
  </si>
  <si>
    <t>2025-09-24 10:25</t>
  </si>
  <si>
    <t>Vol 1,836,602 &gt; 3.0×avg(20) ~ 420,331</t>
  </si>
  <si>
    <t>2025-09-24 10:55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</si>
  <si>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</si>
  <si>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</si>
  <si>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</si>
  <si>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</si>
  <si>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</si>
  <si>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2025-09-24 15:10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</si>
  <si>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</si>
  <si>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</si>
  <si>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</si>
  <si>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</si>
  <si>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</si>
  <si>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</t>
  </si>
  <si>
    <t>2025-09-25 10:00</t>
  </si>
  <si>
    <t>TR 0.5000 &gt; 2.0×ATR(20) 0.1850</t>
  </si>
  <si>
    <t>2025-09-25 10:05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</si>
  <si>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</si>
  <si>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</si>
  <si>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</si>
  <si>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</si>
  <si>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</si>
  <si>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</si>
  <si>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</si>
  <si>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</si>
  <si>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</si>
  <si>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</si>
  <si>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</si>
  <si>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</si>
  <si>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</si>
  <si>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</si>
  <si>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</si>
  <si>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</si>
  <si>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</si>
  <si>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</si>
  <si>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</si>
  <si>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</si>
  <si>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</si>
  <si>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</si>
  <si>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</si>
  <si>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</si>
  <si>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Min</t>
  </si>
  <si>
    <t>Dif</t>
  </si>
  <si>
    <t>Max</t>
  </si>
  <si>
    <t>Open</t>
  </si>
  <si>
    <t>2025-09-29</t>
  </si>
  <si>
    <t>2025-09-29 10:00</t>
  </si>
  <si>
    <t>2025-09-29 10:50</t>
  </si>
  <si>
    <t>2025-09-29 10:55</t>
  </si>
  <si>
    <t>2025-09-29 14:30</t>
  </si>
  <si>
    <t>Vol 791,000 &gt; 3.0×avg(20) ~ 237,593</t>
  </si>
  <si>
    <t>Vol 1,620,800 &gt; 3.0×avg(20) ~ 280,167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</si>
  <si>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</si>
  <si>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</si>
  <si>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</si>
  <si>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</si>
  <si>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</si>
  <si>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</si>
  <si>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</si>
  <si>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2025-09-29 16:15</t>
  </si>
  <si>
    <t>Vol 2,001,303 &gt; 3.0×avg(20) ~ 209,507</t>
  </si>
  <si>
    <t>2025-09-30</t>
  </si>
  <si>
    <t>2025-09-30 11:50</t>
  </si>
  <si>
    <t>2025-09-30 14:00</t>
  </si>
  <si>
    <t>2025-09-30 14:20</t>
  </si>
  <si>
    <t>Vol 655,032 &gt; 3.0×avg(20) ~ 96,163</t>
  </si>
  <si>
    <t>Vol 1,901,210 &gt; 3.0×avg(20) ~ 195,396</t>
  </si>
  <si>
    <t>Vol 789,652 &gt; 3.0×avg(20) ~ 205,537</t>
  </si>
  <si>
    <t>2025-09-30 15:40</t>
  </si>
  <si>
    <t>Vol 1,357,204 &gt; 3.0×avg(20) ~ 138,421</t>
  </si>
  <si>
    <t>2025-09-30 16:05</t>
  </si>
  <si>
    <t>Vol 930,958 &gt; 3.0×avg(20) ~ 151,598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</si>
</sst>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Tahoma"/>
      <family val="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9" fontId="6" fillId="0" borderId="0" xfId="1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6" fillId="3" borderId="0" xfId="0" applyFont="1" applyFill="1"/>
    <xf numFmtId="0" fontId="0" fillId="3" borderId="2" xfId="0" applyFill="1" applyBorder="1"/>
    <xf numFmtId="0" fontId="9" fillId="0" borderId="0" xfId="0" applyFont="1"/>
    <xf numFmtId="0" fontId="9" fillId="0" borderId="2" xfId="0" applyFont="1" applyBorder="1"/>
    <xf numFmtId="0" fontId="9" fillId="3" borderId="0" xfId="0" applyFont="1" applyFill="1"/>
    <xf numFmtId="0" fontId="8" fillId="3" borderId="0" xfId="2" applyFont="1" applyFill="1"/>
    <xf numFmtId="0" fontId="7" fillId="3" borderId="0" xfId="0" applyFont="1" applyFill="1"/>
    <xf numFmtId="0" fontId="3" fillId="2" borderId="0" xfId="2"/>
    <xf numFmtId="0" fontId="3" fillId="2" borderId="2" xfId="2" applyBorder="1"/>
  </cellXfs>
  <cellStyles count="3">
    <cellStyle name="Bad" xfId="2" builtinId="27"/>
    <cellStyle name="Normal" xfId="0" builtinId="0"/>
    <cellStyle name="Percent" xfId="1" builtinId="5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174</xdr:row>
      <xdr:rowOff>66675</xdr:rowOff>
    </xdr:from>
    <xdr:to>
      <xdr:col>7</xdr:col>
      <xdr:colOff>28575</xdr:colOff>
      <xdr:row>176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9377A9-19E8-4987-A167-6A147B5089FF}"/>
            </a:ext>
          </a:extLst>
        </xdr:cNvPr>
        <xdr:cNvSpPr txBox="1"/>
      </xdr:nvSpPr>
      <xdr:spPr>
        <a:xfrm>
          <a:off x="4581525" y="3155632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สัญญาณถอย</a:t>
          </a:r>
        </a:p>
      </xdr:txBody>
    </xdr:sp>
    <xdr:clientData/>
  </xdr:twoCellAnchor>
  <xdr:twoCellAnchor>
    <xdr:from>
      <xdr:col>6</xdr:col>
      <xdr:colOff>409575</xdr:colOff>
      <xdr:row>175</xdr:row>
      <xdr:rowOff>114300</xdr:rowOff>
    </xdr:from>
    <xdr:to>
      <xdr:col>10</xdr:col>
      <xdr:colOff>276225</xdr:colOff>
      <xdr:row>179</xdr:row>
      <xdr:rowOff>114300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1CD388B-59DF-4ACA-8025-E33E49FF2223}"/>
            </a:ext>
          </a:extLst>
        </xdr:cNvPr>
        <xdr:cNvSpPr/>
      </xdr:nvSpPr>
      <xdr:spPr>
        <a:xfrm>
          <a:off x="5610225" y="31784925"/>
          <a:ext cx="41529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457201</xdr:colOff>
      <xdr:row>241</xdr:row>
      <xdr:rowOff>152400</xdr:rowOff>
    </xdr:from>
    <xdr:to>
      <xdr:col>10</xdr:col>
      <xdr:colOff>209551</xdr:colOff>
      <xdr:row>245</xdr:row>
      <xdr:rowOff>161925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8C7153-8F53-4EAB-A981-B0273EDFE530}"/>
            </a:ext>
          </a:extLst>
        </xdr:cNvPr>
        <xdr:cNvSpPr/>
      </xdr:nvSpPr>
      <xdr:spPr>
        <a:xfrm>
          <a:off x="5657851" y="43767375"/>
          <a:ext cx="4038600" cy="7334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152400</xdr:colOff>
      <xdr:row>239</xdr:row>
      <xdr:rowOff>76200</xdr:rowOff>
    </xdr:from>
    <xdr:to>
      <xdr:col>13</xdr:col>
      <xdr:colOff>66675</xdr:colOff>
      <xdr:row>241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04DBB3-CCB0-4B85-8D33-7AE6330D8D6A}"/>
            </a:ext>
          </a:extLst>
        </xdr:cNvPr>
        <xdr:cNvSpPr txBox="1"/>
      </xdr:nvSpPr>
      <xdr:spPr>
        <a:xfrm>
          <a:off x="9639300" y="4332922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สัญญาณลวง</a:t>
          </a:r>
        </a:p>
      </xdr:txBody>
    </xdr:sp>
    <xdr:clientData/>
  </xdr:twoCellAnchor>
  <xdr:twoCellAnchor>
    <xdr:from>
      <xdr:col>5</xdr:col>
      <xdr:colOff>390525</xdr:colOff>
      <xdr:row>86</xdr:row>
      <xdr:rowOff>76200</xdr:rowOff>
    </xdr:from>
    <xdr:to>
      <xdr:col>7</xdr:col>
      <xdr:colOff>352425</xdr:colOff>
      <xdr:row>88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32E8F8F-14B0-4D1E-9D25-9D9DB4442E3C}"/>
            </a:ext>
          </a:extLst>
        </xdr:cNvPr>
        <xdr:cNvSpPr txBox="1"/>
      </xdr:nvSpPr>
      <xdr:spPr>
        <a:xfrm>
          <a:off x="4905375" y="15640050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ซื้อเพิ่ม</a:t>
          </a:r>
        </a:p>
        <a:p>
          <a:r>
            <a:rPr lang="th-TH" sz="1100" b="1"/>
            <a:t>ที่ราคาต่ำลง</a:t>
          </a:r>
        </a:p>
      </xdr:txBody>
    </xdr:sp>
    <xdr:clientData/>
  </xdr:twoCellAnchor>
  <xdr:twoCellAnchor>
    <xdr:from>
      <xdr:col>5</xdr:col>
      <xdr:colOff>647700</xdr:colOff>
      <xdr:row>88</xdr:row>
      <xdr:rowOff>76200</xdr:rowOff>
    </xdr:from>
    <xdr:to>
      <xdr:col>9</xdr:col>
      <xdr:colOff>1028700</xdr:colOff>
      <xdr:row>92</xdr:row>
      <xdr:rowOff>76200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F44EB8C-FE4F-48DC-AF0F-CBF2CD9C12F7}"/>
            </a:ext>
          </a:extLst>
        </xdr:cNvPr>
        <xdr:cNvSpPr/>
      </xdr:nvSpPr>
      <xdr:spPr>
        <a:xfrm>
          <a:off x="5162550" y="16002000"/>
          <a:ext cx="41529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142875</xdr:colOff>
      <xdr:row>152</xdr:row>
      <xdr:rowOff>142875</xdr:rowOff>
    </xdr:from>
    <xdr:to>
      <xdr:col>3</xdr:col>
      <xdr:colOff>657225</xdr:colOff>
      <xdr:row>155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CC223B-8252-4EBD-9B1D-0FC435FDB7D4}"/>
            </a:ext>
          </a:extLst>
        </xdr:cNvPr>
        <xdr:cNvSpPr txBox="1"/>
      </xdr:nvSpPr>
      <xdr:spPr>
        <a:xfrm>
          <a:off x="2390775" y="2765107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ซื้อเพิ่ม</a:t>
          </a:r>
        </a:p>
        <a:p>
          <a:r>
            <a:rPr lang="th-TH" sz="1100" b="1"/>
            <a:t>ที่ราคาต่ำลง</a:t>
          </a:r>
        </a:p>
      </xdr:txBody>
    </xdr:sp>
    <xdr:clientData/>
  </xdr:twoCellAnchor>
  <xdr:twoCellAnchor>
    <xdr:from>
      <xdr:col>3</xdr:col>
      <xdr:colOff>457200</xdr:colOff>
      <xdr:row>154</xdr:row>
      <xdr:rowOff>152400</xdr:rowOff>
    </xdr:from>
    <xdr:to>
      <xdr:col>8</xdr:col>
      <xdr:colOff>590550</xdr:colOff>
      <xdr:row>158</xdr:row>
      <xdr:rowOff>152400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84C901-543C-406B-AAB5-BEE303B1907A}"/>
            </a:ext>
          </a:extLst>
        </xdr:cNvPr>
        <xdr:cNvSpPr/>
      </xdr:nvSpPr>
      <xdr:spPr>
        <a:xfrm>
          <a:off x="3524250" y="28022550"/>
          <a:ext cx="41529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180975</xdr:colOff>
      <xdr:row>249</xdr:row>
      <xdr:rowOff>57150</xdr:rowOff>
    </xdr:from>
    <xdr:to>
      <xdr:col>3</xdr:col>
      <xdr:colOff>695325</xdr:colOff>
      <xdr:row>251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028998-FF16-4074-8F8F-EDFCF9AD2D13}"/>
            </a:ext>
          </a:extLst>
        </xdr:cNvPr>
        <xdr:cNvSpPr txBox="1"/>
      </xdr:nvSpPr>
      <xdr:spPr>
        <a:xfrm>
          <a:off x="2428875" y="4511992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ซื้อเพิ่ม</a:t>
          </a:r>
        </a:p>
        <a:p>
          <a:r>
            <a:rPr lang="th-TH" sz="1100" b="1"/>
            <a:t>ที่ราคาต่ำลง</a:t>
          </a:r>
        </a:p>
      </xdr:txBody>
    </xdr:sp>
    <xdr:clientData/>
  </xdr:twoCellAnchor>
  <xdr:twoCellAnchor>
    <xdr:from>
      <xdr:col>3</xdr:col>
      <xdr:colOff>542925</xdr:colOff>
      <xdr:row>250</xdr:row>
      <xdr:rowOff>114299</xdr:rowOff>
    </xdr:from>
    <xdr:to>
      <xdr:col>8</xdr:col>
      <xdr:colOff>676275</xdr:colOff>
      <xdr:row>254</xdr:row>
      <xdr:rowOff>47624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C169013-57ED-44E0-BB7C-BF264B1103C6}"/>
            </a:ext>
          </a:extLst>
        </xdr:cNvPr>
        <xdr:cNvSpPr/>
      </xdr:nvSpPr>
      <xdr:spPr>
        <a:xfrm>
          <a:off x="3609975" y="45358049"/>
          <a:ext cx="4152900" cy="6572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161925</xdr:colOff>
      <xdr:row>257</xdr:row>
      <xdr:rowOff>114300</xdr:rowOff>
    </xdr:from>
    <xdr:to>
      <xdr:col>9</xdr:col>
      <xdr:colOff>542925</xdr:colOff>
      <xdr:row>261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F673C17-0081-44BF-8141-9CED976C86A4}"/>
            </a:ext>
          </a:extLst>
        </xdr:cNvPr>
        <xdr:cNvSpPr/>
      </xdr:nvSpPr>
      <xdr:spPr>
        <a:xfrm>
          <a:off x="4676775" y="46624875"/>
          <a:ext cx="41529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85725</xdr:colOff>
      <xdr:row>258</xdr:row>
      <xdr:rowOff>47625</xdr:rowOff>
    </xdr:from>
    <xdr:to>
      <xdr:col>3</xdr:col>
      <xdr:colOff>600075</xdr:colOff>
      <xdr:row>260</xdr:row>
      <xdr:rowOff>133350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6D18D2F-CD9C-4FB8-AA4E-658AC96A47BC}"/>
            </a:ext>
          </a:extLst>
        </xdr:cNvPr>
        <xdr:cNvSpPr txBox="1"/>
      </xdr:nvSpPr>
      <xdr:spPr>
        <a:xfrm>
          <a:off x="2333625" y="4673917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ซื้อแล้วขายในราคาสูงทันที</a:t>
          </a:r>
        </a:p>
      </xdr:txBody>
    </xdr:sp>
    <xdr:clientData/>
  </xdr:twoCellAnchor>
  <xdr:twoCellAnchor>
    <xdr:from>
      <xdr:col>2</xdr:col>
      <xdr:colOff>104775</xdr:colOff>
      <xdr:row>284</xdr:row>
      <xdr:rowOff>142875</xdr:rowOff>
    </xdr:from>
    <xdr:to>
      <xdr:col>3</xdr:col>
      <xdr:colOff>619125</xdr:colOff>
      <xdr:row>289</xdr:row>
      <xdr:rowOff>85725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4CD6FDB-5896-4CCC-9813-739620CEF7F3}"/>
            </a:ext>
          </a:extLst>
        </xdr:cNvPr>
        <xdr:cNvSpPr txBox="1"/>
      </xdr:nvSpPr>
      <xdr:spPr>
        <a:xfrm>
          <a:off x="2352675" y="51539775"/>
          <a:ext cx="1333500" cy="84772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/>
            <a:t>ซื้อเพิ่ม</a:t>
          </a:r>
        </a:p>
        <a:p>
          <a:r>
            <a:rPr lang="th-TH" sz="1100" b="1"/>
            <a:t>ที่ราคาต่ำลง</a:t>
          </a:r>
        </a:p>
        <a:p>
          <a:r>
            <a:rPr lang="th-TH" sz="1100" b="1"/>
            <a:t>แล้วกลับมาซื้อ</a:t>
          </a:r>
        </a:p>
        <a:p>
          <a:r>
            <a:rPr lang="th-TH" sz="1100" b="1"/>
            <a:t>ที่ราคาสูงขึ้น</a:t>
          </a:r>
        </a:p>
      </xdr:txBody>
    </xdr:sp>
    <xdr:clientData/>
  </xdr:twoCellAnchor>
  <xdr:twoCellAnchor>
    <xdr:from>
      <xdr:col>6</xdr:col>
      <xdr:colOff>419100</xdr:colOff>
      <xdr:row>314</xdr:row>
      <xdr:rowOff>0</xdr:rowOff>
    </xdr:from>
    <xdr:to>
      <xdr:col>11</xdr:col>
      <xdr:colOff>0</xdr:colOff>
      <xdr:row>318</xdr:row>
      <xdr:rowOff>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9DFF655-8ED2-417F-B4E4-9249BBAC8A79}"/>
            </a:ext>
          </a:extLst>
        </xdr:cNvPr>
        <xdr:cNvSpPr/>
      </xdr:nvSpPr>
      <xdr:spPr>
        <a:xfrm>
          <a:off x="5619750" y="56826150"/>
          <a:ext cx="41529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152400</xdr:colOff>
      <xdr:row>24</xdr:row>
      <xdr:rowOff>85725</xdr:rowOff>
    </xdr:from>
    <xdr:to>
      <xdr:col>3</xdr:col>
      <xdr:colOff>666750</xdr:colOff>
      <xdr:row>26</xdr:row>
      <xdr:rowOff>171450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56E9958-6A5C-417E-9611-2B0447D104BF}"/>
            </a:ext>
          </a:extLst>
        </xdr:cNvPr>
        <xdr:cNvSpPr txBox="1"/>
      </xdr:nvSpPr>
      <xdr:spPr>
        <a:xfrm>
          <a:off x="2400300" y="4429125"/>
          <a:ext cx="1333500" cy="447675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ซื้อเพิ่ม</a:t>
          </a:r>
          <a:endParaRPr lang="th-TH">
            <a:effectLst/>
          </a:endParaRPr>
        </a:p>
        <a:p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ที่ราคาต่ำลง</a:t>
          </a:r>
          <a:endParaRPr lang="th-TH">
            <a:effectLst/>
          </a:endParaRPr>
        </a:p>
      </xdr:txBody>
    </xdr:sp>
    <xdr:clientData/>
  </xdr:twoCellAnchor>
  <xdr:twoCellAnchor>
    <xdr:from>
      <xdr:col>1</xdr:col>
      <xdr:colOff>1304925</xdr:colOff>
      <xdr:row>52</xdr:row>
      <xdr:rowOff>57151</xdr:rowOff>
    </xdr:from>
    <xdr:to>
      <xdr:col>3</xdr:col>
      <xdr:colOff>590550</xdr:colOff>
      <xdr:row>55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99E4673-97D6-46CE-9D64-CD7FFF00C3C5}"/>
            </a:ext>
          </a:extLst>
        </xdr:cNvPr>
        <xdr:cNvSpPr txBox="1"/>
      </xdr:nvSpPr>
      <xdr:spPr>
        <a:xfrm>
          <a:off x="2228850" y="9467851"/>
          <a:ext cx="1428750" cy="6286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ซื้อเพิ่ม</a:t>
          </a:r>
          <a:endParaRPr lang="th-TH">
            <a:effectLst/>
          </a:endParaRPr>
        </a:p>
        <a:p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ที่ราคาต่ำลง</a:t>
          </a:r>
        </a:p>
        <a:p>
          <a:r>
            <a:rPr lang="th-TH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แต่อยู่ในวันเดียวกัน</a:t>
          </a:r>
          <a:endParaRPr lang="th-TH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1"/>
  <sheetViews>
    <sheetView tabSelected="1" workbookViewId="0">
      <pane ySplit="1" topLeftCell="A326" activePane="bottomLeft" state="frozen"/>
      <selection pane="bottomLeft" activeCell="N344" sqref="N344"/>
    </sheetView>
  </sheetViews>
  <sheetFormatPr defaultRowHeight="14.25" x14ac:dyDescent="0.2"/>
  <cols>
    <col min="1" max="1" width="12.125" customWidth="1"/>
    <col min="2" max="2" width="17.375" customWidth="1"/>
    <col min="3" max="3" width="10.75" customWidth="1"/>
    <col min="4" max="4" width="10" customWidth="1"/>
    <col min="6" max="6" width="10.25" customWidth="1"/>
    <col min="8" max="10" width="15.75" customWidth="1"/>
    <col min="11" max="11" width="3.75" style="9" customWidth="1"/>
    <col min="12" max="12" width="7.125" customWidth="1"/>
    <col min="13" max="13" width="7.75" hidden="1" customWidth="1"/>
    <col min="14" max="14" width="16.375" customWidth="1"/>
    <col min="15" max="15" width="5.625" hidden="1" customWidth="1"/>
    <col min="16" max="16" width="4" style="9" hidden="1" customWidth="1"/>
    <col min="17" max="17" width="5.875" customWidth="1"/>
    <col min="21" max="23" width="13.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2">
      <c r="A2" t="s">
        <v>10</v>
      </c>
      <c r="B2" t="s">
        <v>11</v>
      </c>
      <c r="C2" t="s">
        <v>12</v>
      </c>
      <c r="D2" t="s">
        <v>13</v>
      </c>
      <c r="E2">
        <v>24.60000038146973</v>
      </c>
      <c r="F2">
        <v>413200</v>
      </c>
      <c r="G2" t="s">
        <v>14</v>
      </c>
      <c r="H2">
        <v>-0.40650560942695418</v>
      </c>
      <c r="I2">
        <v>-0.81301121885390837</v>
      </c>
      <c r="J2">
        <v>-1.2195168282808619</v>
      </c>
      <c r="L2" s="5" t="s">
        <v>470</v>
      </c>
      <c r="M2" s="8">
        <f>MIN(E2:E12)</f>
        <v>24.29999923706055</v>
      </c>
      <c r="N2" s="5" t="s">
        <v>471</v>
      </c>
      <c r="O2" s="6">
        <f>((M3-M2)/M2)</f>
        <v>1.6460968659984424E-2</v>
      </c>
    </row>
    <row r="3" spans="1:15" x14ac:dyDescent="0.2">
      <c r="A3" t="s">
        <v>10</v>
      </c>
      <c r="B3" t="s">
        <v>11</v>
      </c>
      <c r="C3" t="s">
        <v>12</v>
      </c>
      <c r="D3" t="s">
        <v>15</v>
      </c>
      <c r="E3">
        <v>24.60000038146973</v>
      </c>
      <c r="F3">
        <v>413200</v>
      </c>
      <c r="G3" t="s">
        <v>16</v>
      </c>
      <c r="H3">
        <v>-0.40650560942695418</v>
      </c>
      <c r="I3">
        <v>-0.81301121885390837</v>
      </c>
      <c r="J3">
        <v>-1.2195168282808619</v>
      </c>
      <c r="L3" s="5" t="s">
        <v>472</v>
      </c>
      <c r="M3" s="8">
        <f>MAX(E2:E12)</f>
        <v>24.70000076293945</v>
      </c>
      <c r="N3" s="5"/>
    </row>
    <row r="4" spans="1:15" x14ac:dyDescent="0.2">
      <c r="A4" t="s">
        <v>10</v>
      </c>
      <c r="B4" t="s">
        <v>17</v>
      </c>
      <c r="C4" t="s">
        <v>12</v>
      </c>
      <c r="D4" t="s">
        <v>13</v>
      </c>
      <c r="E4">
        <v>24.5</v>
      </c>
      <c r="F4">
        <v>415660</v>
      </c>
      <c r="G4" t="s">
        <v>18</v>
      </c>
      <c r="H4">
        <v>0</v>
      </c>
      <c r="I4">
        <v>-0.40816482232541462</v>
      </c>
      <c r="J4">
        <v>-0.81632964465082913</v>
      </c>
    </row>
    <row r="5" spans="1:15" x14ac:dyDescent="0.2">
      <c r="A5" t="s">
        <v>10</v>
      </c>
      <c r="B5" t="s">
        <v>19</v>
      </c>
      <c r="C5" t="s">
        <v>12</v>
      </c>
      <c r="D5" t="s">
        <v>13</v>
      </c>
      <c r="E5" s="12">
        <v>24.29999923706055</v>
      </c>
      <c r="F5">
        <v>586604</v>
      </c>
      <c r="G5" t="s">
        <v>20</v>
      </c>
      <c r="H5">
        <v>0</v>
      </c>
      <c r="I5">
        <v>0</v>
      </c>
      <c r="J5">
        <v>0</v>
      </c>
    </row>
    <row r="6" spans="1:15" x14ac:dyDescent="0.2">
      <c r="A6" t="s">
        <v>10</v>
      </c>
      <c r="B6" t="s">
        <v>21</v>
      </c>
      <c r="C6" t="s">
        <v>12</v>
      </c>
      <c r="D6" t="s">
        <v>13</v>
      </c>
      <c r="E6" s="12">
        <v>24.5</v>
      </c>
      <c r="F6">
        <v>396508</v>
      </c>
      <c r="G6" t="s">
        <v>22</v>
      </c>
      <c r="H6">
        <v>-0.81632964465082913</v>
      </c>
      <c r="I6">
        <v>-0.81632964465082913</v>
      </c>
      <c r="J6">
        <v>0</v>
      </c>
    </row>
    <row r="7" spans="1:15" x14ac:dyDescent="0.2">
      <c r="A7" t="s">
        <v>10</v>
      </c>
      <c r="B7" t="s">
        <v>23</v>
      </c>
      <c r="C7" t="s">
        <v>12</v>
      </c>
      <c r="D7" t="s">
        <v>13</v>
      </c>
      <c r="E7" s="14">
        <v>24.39999961853027</v>
      </c>
      <c r="F7">
        <v>1050130</v>
      </c>
      <c r="G7" t="s">
        <v>24</v>
      </c>
      <c r="H7">
        <v>0.40983763538169288</v>
      </c>
      <c r="I7">
        <v>0</v>
      </c>
      <c r="J7">
        <v>0.40983763538169288</v>
      </c>
    </row>
    <row r="8" spans="1:15" x14ac:dyDescent="0.2">
      <c r="A8" t="s">
        <v>10</v>
      </c>
      <c r="B8" t="s">
        <v>23</v>
      </c>
      <c r="C8" t="s">
        <v>12</v>
      </c>
      <c r="D8" t="s">
        <v>25</v>
      </c>
      <c r="E8" s="12">
        <v>24.39999961853027</v>
      </c>
      <c r="F8">
        <v>1050130</v>
      </c>
      <c r="G8" t="s">
        <v>26</v>
      </c>
      <c r="H8">
        <v>0.40983763538169288</v>
      </c>
      <c r="I8">
        <v>0</v>
      </c>
      <c r="J8">
        <v>0.40983763538169288</v>
      </c>
    </row>
    <row r="9" spans="1:15" x14ac:dyDescent="0.2">
      <c r="A9" s="2" t="s">
        <v>10</v>
      </c>
      <c r="B9" s="2" t="s">
        <v>23</v>
      </c>
      <c r="C9" s="2" t="s">
        <v>12</v>
      </c>
      <c r="D9" s="2" t="s">
        <v>15</v>
      </c>
      <c r="E9" s="13">
        <v>24.39999961853027</v>
      </c>
      <c r="F9" s="2">
        <v>1050130</v>
      </c>
      <c r="G9" s="2" t="s">
        <v>16</v>
      </c>
      <c r="H9" s="2">
        <v>0.40983763538169288</v>
      </c>
      <c r="I9" s="2">
        <v>0</v>
      </c>
      <c r="J9" s="2">
        <v>0.40983763538169288</v>
      </c>
    </row>
    <row r="10" spans="1:15" x14ac:dyDescent="0.2">
      <c r="A10" t="s">
        <v>27</v>
      </c>
      <c r="B10" t="s">
        <v>28</v>
      </c>
      <c r="C10" t="s">
        <v>12</v>
      </c>
      <c r="D10" t="s">
        <v>13</v>
      </c>
      <c r="E10" s="12">
        <v>24.70000076293945</v>
      </c>
      <c r="F10">
        <v>612945</v>
      </c>
      <c r="G10" t="s">
        <v>29</v>
      </c>
      <c r="H10">
        <v>-0.40485983150158372</v>
      </c>
      <c r="I10">
        <v>0</v>
      </c>
      <c r="J10">
        <v>-0.40485983150158372</v>
      </c>
    </row>
    <row r="11" spans="1:15" x14ac:dyDescent="0.2">
      <c r="A11" t="s">
        <v>27</v>
      </c>
      <c r="B11" t="s">
        <v>28</v>
      </c>
      <c r="C11" t="s">
        <v>12</v>
      </c>
      <c r="D11" t="s">
        <v>25</v>
      </c>
      <c r="E11" s="12">
        <v>24.70000076293945</v>
      </c>
      <c r="F11">
        <v>612945</v>
      </c>
      <c r="G11" t="s">
        <v>30</v>
      </c>
      <c r="H11">
        <v>-0.40485983150158372</v>
      </c>
      <c r="I11">
        <v>0</v>
      </c>
      <c r="J11">
        <v>-0.40485983150158372</v>
      </c>
    </row>
    <row r="12" spans="1:15" x14ac:dyDescent="0.2">
      <c r="A12" t="s">
        <v>27</v>
      </c>
      <c r="B12" t="s">
        <v>31</v>
      </c>
      <c r="C12" t="s">
        <v>12</v>
      </c>
      <c r="D12" t="s">
        <v>13</v>
      </c>
      <c r="E12" s="14">
        <v>24.60000038146973</v>
      </c>
      <c r="F12">
        <v>648206</v>
      </c>
      <c r="G12" t="s">
        <v>32</v>
      </c>
      <c r="H12">
        <v>0</v>
      </c>
      <c r="I12">
        <v>0.40650560942695418</v>
      </c>
      <c r="J12">
        <v>0</v>
      </c>
      <c r="L12" s="5" t="s">
        <v>473</v>
      </c>
      <c r="M12" s="7">
        <v>24.5</v>
      </c>
    </row>
    <row r="13" spans="1:15" x14ac:dyDescent="0.2">
      <c r="A13" t="s">
        <v>27</v>
      </c>
      <c r="B13" t="s">
        <v>33</v>
      </c>
      <c r="C13" t="s">
        <v>12</v>
      </c>
      <c r="D13" t="s">
        <v>13</v>
      </c>
      <c r="E13" s="16">
        <v>24.5</v>
      </c>
      <c r="F13" s="9">
        <v>1127811</v>
      </c>
      <c r="G13" s="9" t="s">
        <v>34</v>
      </c>
      <c r="H13" s="9">
        <v>0.81632964465082913</v>
      </c>
      <c r="I13" s="9">
        <v>3.0612244897959182</v>
      </c>
      <c r="J13" s="9">
        <v>4.0816326530612246</v>
      </c>
      <c r="L13" s="5" t="s">
        <v>470</v>
      </c>
      <c r="M13" s="4">
        <f>MIN(E13:E37)</f>
        <v>24.5</v>
      </c>
      <c r="N13" s="5" t="s">
        <v>471</v>
      </c>
      <c r="O13" s="6">
        <f>((M14-M13)/M13)</f>
        <v>8.1632653061224483E-2</v>
      </c>
    </row>
    <row r="14" spans="1:15" x14ac:dyDescent="0.2">
      <c r="A14" t="s">
        <v>27</v>
      </c>
      <c r="B14" t="s">
        <v>35</v>
      </c>
      <c r="C14" t="s">
        <v>12</v>
      </c>
      <c r="D14" t="s">
        <v>13</v>
      </c>
      <c r="E14">
        <v>24.60000038146973</v>
      </c>
      <c r="F14">
        <v>639300</v>
      </c>
      <c r="G14" t="s">
        <v>36</v>
      </c>
      <c r="H14">
        <v>0</v>
      </c>
      <c r="I14">
        <v>2.6422748311007922</v>
      </c>
      <c r="J14">
        <v>3.6585349779433738</v>
      </c>
      <c r="L14" s="5" t="s">
        <v>472</v>
      </c>
      <c r="M14" s="4">
        <f>MAX(E13:E37)</f>
        <v>26.5</v>
      </c>
      <c r="N14" s="5"/>
    </row>
    <row r="15" spans="1:15" x14ac:dyDescent="0.2">
      <c r="A15" s="2" t="s">
        <v>27</v>
      </c>
      <c r="B15" s="2" t="s">
        <v>35</v>
      </c>
      <c r="C15" s="2" t="s">
        <v>12</v>
      </c>
      <c r="D15" s="2" t="s">
        <v>25</v>
      </c>
      <c r="E15" s="11">
        <v>24.60000038146973</v>
      </c>
      <c r="F15" s="2">
        <v>639300</v>
      </c>
      <c r="G15" s="2" t="s">
        <v>37</v>
      </c>
      <c r="H15" s="2">
        <v>0</v>
      </c>
      <c r="I15" s="2">
        <v>2.6422748311007922</v>
      </c>
      <c r="J15" s="2">
        <v>3.6585349779433738</v>
      </c>
    </row>
    <row r="16" spans="1:15" x14ac:dyDescent="0.2">
      <c r="A16" t="s">
        <v>38</v>
      </c>
      <c r="B16" t="s">
        <v>39</v>
      </c>
      <c r="C16" t="s">
        <v>12</v>
      </c>
      <c r="D16" t="s">
        <v>25</v>
      </c>
      <c r="E16" s="9">
        <v>24.79999923706055</v>
      </c>
      <c r="F16">
        <v>0</v>
      </c>
      <c r="G16" t="s">
        <v>40</v>
      </c>
      <c r="H16">
        <v>2.8225838083631398</v>
      </c>
      <c r="I16">
        <v>2.8225838083631398</v>
      </c>
      <c r="J16">
        <v>1.814519261222324</v>
      </c>
    </row>
    <row r="17" spans="1:10" x14ac:dyDescent="0.2">
      <c r="A17" t="s">
        <v>38</v>
      </c>
      <c r="B17" t="s">
        <v>41</v>
      </c>
      <c r="C17" t="s">
        <v>12</v>
      </c>
      <c r="D17" t="s">
        <v>13</v>
      </c>
      <c r="E17">
        <v>25.25</v>
      </c>
      <c r="F17">
        <v>1659068</v>
      </c>
      <c r="G17" t="s">
        <v>42</v>
      </c>
      <c r="H17">
        <v>0</v>
      </c>
      <c r="I17">
        <v>0.99009900990099009</v>
      </c>
      <c r="J17">
        <v>0.99009900990099009</v>
      </c>
    </row>
    <row r="18" spans="1:10" x14ac:dyDescent="0.2">
      <c r="A18" t="s">
        <v>38</v>
      </c>
      <c r="B18" t="s">
        <v>41</v>
      </c>
      <c r="C18" t="s">
        <v>12</v>
      </c>
      <c r="D18" t="s">
        <v>25</v>
      </c>
      <c r="E18" s="9">
        <v>25.25</v>
      </c>
      <c r="F18">
        <v>1659068</v>
      </c>
      <c r="G18" t="s">
        <v>43</v>
      </c>
      <c r="H18">
        <v>0</v>
      </c>
      <c r="I18">
        <v>0.99009900990099009</v>
      </c>
      <c r="J18">
        <v>0.99009900990099009</v>
      </c>
    </row>
    <row r="19" spans="1:10" x14ac:dyDescent="0.2">
      <c r="A19" t="s">
        <v>38</v>
      </c>
      <c r="B19" t="s">
        <v>44</v>
      </c>
      <c r="C19" t="s">
        <v>12</v>
      </c>
      <c r="D19" t="s">
        <v>25</v>
      </c>
      <c r="E19">
        <v>25.5</v>
      </c>
      <c r="F19">
        <v>423401</v>
      </c>
      <c r="G19" t="s">
        <v>45</v>
      </c>
      <c r="H19">
        <v>0</v>
      </c>
      <c r="I19">
        <v>0</v>
      </c>
      <c r="J19">
        <v>-0.98039215686274506</v>
      </c>
    </row>
    <row r="20" spans="1:10" x14ac:dyDescent="0.2">
      <c r="A20" t="s">
        <v>38</v>
      </c>
      <c r="B20" t="s">
        <v>46</v>
      </c>
      <c r="C20" t="s">
        <v>12</v>
      </c>
      <c r="D20" t="s">
        <v>13</v>
      </c>
      <c r="E20">
        <v>25.5</v>
      </c>
      <c r="F20">
        <v>825280</v>
      </c>
      <c r="G20" t="s">
        <v>47</v>
      </c>
      <c r="H20">
        <v>0</v>
      </c>
      <c r="I20">
        <v>0.98039215686274506</v>
      </c>
      <c r="J20">
        <v>-0.98039215686274506</v>
      </c>
    </row>
    <row r="21" spans="1:10" x14ac:dyDescent="0.2">
      <c r="A21" t="s">
        <v>38</v>
      </c>
      <c r="B21" t="s">
        <v>48</v>
      </c>
      <c r="C21" t="s">
        <v>12</v>
      </c>
      <c r="D21" t="s">
        <v>13</v>
      </c>
      <c r="E21" s="9">
        <v>25.5</v>
      </c>
      <c r="F21">
        <v>457614</v>
      </c>
      <c r="G21" t="s">
        <v>49</v>
      </c>
      <c r="H21">
        <v>0.98039215686274506</v>
      </c>
      <c r="I21">
        <v>0</v>
      </c>
      <c r="J21">
        <v>0</v>
      </c>
    </row>
    <row r="22" spans="1:10" x14ac:dyDescent="0.2">
      <c r="A22" s="2" t="s">
        <v>38</v>
      </c>
      <c r="B22" s="2" t="s">
        <v>50</v>
      </c>
      <c r="C22" s="2" t="s">
        <v>12</v>
      </c>
      <c r="D22" s="2" t="s">
        <v>13</v>
      </c>
      <c r="E22" s="2">
        <v>25.5</v>
      </c>
      <c r="F22" s="2">
        <v>1713227</v>
      </c>
      <c r="G22" s="2" t="s">
        <v>51</v>
      </c>
      <c r="H22" s="2">
        <v>0</v>
      </c>
      <c r="I22" s="2">
        <v>0</v>
      </c>
      <c r="J22" s="2">
        <v>0</v>
      </c>
    </row>
    <row r="23" spans="1:10" x14ac:dyDescent="0.2">
      <c r="A23" t="s">
        <v>52</v>
      </c>
      <c r="B23" t="s">
        <v>53</v>
      </c>
      <c r="C23" t="s">
        <v>12</v>
      </c>
      <c r="D23" t="s">
        <v>25</v>
      </c>
      <c r="E23" s="12">
        <v>26.5</v>
      </c>
      <c r="F23">
        <v>0</v>
      </c>
      <c r="G23" t="s">
        <v>54</v>
      </c>
      <c r="H23">
        <v>0</v>
      </c>
      <c r="I23">
        <v>0</v>
      </c>
      <c r="J23">
        <v>0</v>
      </c>
    </row>
    <row r="24" spans="1:10" x14ac:dyDescent="0.2">
      <c r="A24" t="s">
        <v>52</v>
      </c>
      <c r="B24" t="s">
        <v>55</v>
      </c>
      <c r="C24" t="s">
        <v>12</v>
      </c>
      <c r="D24" t="s">
        <v>13</v>
      </c>
      <c r="E24" s="9">
        <v>26.25</v>
      </c>
      <c r="F24" s="9">
        <v>1472200</v>
      </c>
      <c r="G24" t="s">
        <v>56</v>
      </c>
      <c r="H24">
        <v>0.95238095238095244</v>
      </c>
      <c r="I24">
        <v>0</v>
      </c>
      <c r="J24">
        <v>0</v>
      </c>
    </row>
    <row r="25" spans="1:10" x14ac:dyDescent="0.2">
      <c r="A25" t="s">
        <v>52</v>
      </c>
      <c r="B25" t="s">
        <v>57</v>
      </c>
      <c r="C25" t="s">
        <v>12</v>
      </c>
      <c r="D25" t="s">
        <v>13</v>
      </c>
      <c r="E25">
        <v>26.25</v>
      </c>
      <c r="F25">
        <v>891300</v>
      </c>
      <c r="G25" t="s">
        <v>58</v>
      </c>
      <c r="H25">
        <v>0</v>
      </c>
      <c r="I25">
        <v>0.95238095238095244</v>
      </c>
      <c r="J25">
        <v>0</v>
      </c>
    </row>
    <row r="26" spans="1:10" x14ac:dyDescent="0.2">
      <c r="A26" t="s">
        <v>52</v>
      </c>
      <c r="B26" t="s">
        <v>57</v>
      </c>
      <c r="C26" t="s">
        <v>12</v>
      </c>
      <c r="D26" t="s">
        <v>15</v>
      </c>
      <c r="E26">
        <v>26.25</v>
      </c>
      <c r="F26">
        <v>891300</v>
      </c>
      <c r="G26" t="s">
        <v>16</v>
      </c>
      <c r="H26">
        <v>0</v>
      </c>
      <c r="I26">
        <v>0.95238095238095244</v>
      </c>
      <c r="J26">
        <v>0</v>
      </c>
    </row>
    <row r="27" spans="1:10" x14ac:dyDescent="0.2">
      <c r="A27" t="s">
        <v>52</v>
      </c>
      <c r="B27" t="s">
        <v>59</v>
      </c>
      <c r="C27" t="s">
        <v>12</v>
      </c>
      <c r="D27" t="s">
        <v>13</v>
      </c>
      <c r="E27" s="10">
        <v>26</v>
      </c>
      <c r="F27" s="9">
        <v>803200</v>
      </c>
      <c r="G27" t="s">
        <v>60</v>
      </c>
      <c r="H27">
        <v>0.96153846153846156</v>
      </c>
      <c r="I27">
        <v>0</v>
      </c>
      <c r="J27">
        <v>0</v>
      </c>
    </row>
    <row r="28" spans="1:10" x14ac:dyDescent="0.2">
      <c r="A28" t="s">
        <v>52</v>
      </c>
      <c r="B28" t="s">
        <v>61</v>
      </c>
      <c r="C28" t="s">
        <v>12</v>
      </c>
      <c r="D28" t="s">
        <v>13</v>
      </c>
      <c r="E28">
        <v>25.75</v>
      </c>
      <c r="F28">
        <v>540701</v>
      </c>
      <c r="G28" t="s">
        <v>62</v>
      </c>
      <c r="H28">
        <v>0.97087378640776689</v>
      </c>
      <c r="I28">
        <v>0.97087378640776689</v>
      </c>
      <c r="J28">
        <v>0.97087378640776689</v>
      </c>
    </row>
    <row r="29" spans="1:10" x14ac:dyDescent="0.2">
      <c r="A29" s="2" t="s">
        <v>52</v>
      </c>
      <c r="B29" s="2" t="s">
        <v>63</v>
      </c>
      <c r="C29" s="2" t="s">
        <v>12</v>
      </c>
      <c r="D29" s="2" t="s">
        <v>13</v>
      </c>
      <c r="E29" s="11">
        <v>25.75</v>
      </c>
      <c r="F29" s="11">
        <v>529701</v>
      </c>
      <c r="G29" s="2" t="s">
        <v>64</v>
      </c>
      <c r="H29" s="2">
        <v>0</v>
      </c>
      <c r="I29" s="2">
        <v>0.97087378640776689</v>
      </c>
      <c r="J29" s="2">
        <v>0</v>
      </c>
    </row>
    <row r="30" spans="1:10" x14ac:dyDescent="0.2">
      <c r="A30" t="s">
        <v>65</v>
      </c>
      <c r="B30" t="s">
        <v>66</v>
      </c>
      <c r="C30" t="s">
        <v>12</v>
      </c>
      <c r="D30" t="s">
        <v>13</v>
      </c>
      <c r="E30">
        <v>25.75</v>
      </c>
      <c r="F30">
        <v>117000</v>
      </c>
      <c r="G30" t="s">
        <v>67</v>
      </c>
      <c r="H30">
        <v>0</v>
      </c>
      <c r="I30">
        <v>0</v>
      </c>
      <c r="J30">
        <v>0</v>
      </c>
    </row>
    <row r="31" spans="1:10" x14ac:dyDescent="0.2">
      <c r="A31" t="s">
        <v>65</v>
      </c>
      <c r="B31" t="s">
        <v>66</v>
      </c>
      <c r="C31" t="s">
        <v>12</v>
      </c>
      <c r="D31" t="s">
        <v>15</v>
      </c>
      <c r="E31">
        <v>25.75</v>
      </c>
      <c r="F31">
        <v>117000</v>
      </c>
      <c r="G31" t="s">
        <v>16</v>
      </c>
      <c r="H31">
        <v>0</v>
      </c>
      <c r="I31">
        <v>0</v>
      </c>
      <c r="J31">
        <v>0</v>
      </c>
    </row>
    <row r="32" spans="1:10" x14ac:dyDescent="0.2">
      <c r="A32" t="s">
        <v>65</v>
      </c>
      <c r="B32" t="s">
        <v>68</v>
      </c>
      <c r="C32" t="s">
        <v>12</v>
      </c>
      <c r="D32" t="s">
        <v>13</v>
      </c>
      <c r="E32">
        <v>25.75</v>
      </c>
      <c r="F32">
        <v>427900</v>
      </c>
      <c r="G32" t="s">
        <v>69</v>
      </c>
      <c r="H32">
        <v>0</v>
      </c>
      <c r="I32">
        <v>-0.97087378640776689</v>
      </c>
      <c r="J32">
        <v>0</v>
      </c>
    </row>
    <row r="33" spans="1:15" x14ac:dyDescent="0.2">
      <c r="A33" t="s">
        <v>65</v>
      </c>
      <c r="B33" t="s">
        <v>68</v>
      </c>
      <c r="C33" t="s">
        <v>12</v>
      </c>
      <c r="D33" t="s">
        <v>15</v>
      </c>
      <c r="E33">
        <v>25.75</v>
      </c>
      <c r="F33">
        <v>427900</v>
      </c>
      <c r="G33" t="s">
        <v>16</v>
      </c>
      <c r="H33">
        <v>0</v>
      </c>
      <c r="I33">
        <v>-0.97087378640776689</v>
      </c>
      <c r="J33">
        <v>0</v>
      </c>
    </row>
    <row r="34" spans="1:15" x14ac:dyDescent="0.2">
      <c r="A34" t="s">
        <v>65</v>
      </c>
      <c r="B34" t="s">
        <v>70</v>
      </c>
      <c r="C34" t="s">
        <v>12</v>
      </c>
      <c r="D34" t="s">
        <v>13</v>
      </c>
      <c r="E34">
        <v>25.75</v>
      </c>
      <c r="F34">
        <v>428702</v>
      </c>
      <c r="G34" t="s">
        <v>71</v>
      </c>
      <c r="H34">
        <v>0</v>
      </c>
      <c r="I34">
        <v>0</v>
      </c>
      <c r="J34">
        <v>-0.97087378640776689</v>
      </c>
    </row>
    <row r="35" spans="1:15" x14ac:dyDescent="0.2">
      <c r="A35" t="s">
        <v>65</v>
      </c>
      <c r="B35" t="s">
        <v>70</v>
      </c>
      <c r="C35" t="s">
        <v>12</v>
      </c>
      <c r="D35" t="s">
        <v>15</v>
      </c>
      <c r="E35">
        <v>25.75</v>
      </c>
      <c r="F35">
        <v>428702</v>
      </c>
      <c r="G35" t="s">
        <v>16</v>
      </c>
      <c r="H35">
        <v>0</v>
      </c>
      <c r="I35">
        <v>0</v>
      </c>
      <c r="J35">
        <v>-0.97087378640776689</v>
      </c>
    </row>
    <row r="36" spans="1:15" x14ac:dyDescent="0.2">
      <c r="A36" t="s">
        <v>65</v>
      </c>
      <c r="B36" t="s">
        <v>72</v>
      </c>
      <c r="C36" t="s">
        <v>12</v>
      </c>
      <c r="D36" t="s">
        <v>13</v>
      </c>
      <c r="E36">
        <v>25.75</v>
      </c>
      <c r="F36">
        <v>261500</v>
      </c>
      <c r="G36" t="s">
        <v>73</v>
      </c>
      <c r="H36">
        <v>0</v>
      </c>
      <c r="I36">
        <v>0</v>
      </c>
      <c r="J36">
        <v>0</v>
      </c>
    </row>
    <row r="37" spans="1:15" x14ac:dyDescent="0.2">
      <c r="A37" t="s">
        <v>65</v>
      </c>
      <c r="B37" t="s">
        <v>72</v>
      </c>
      <c r="C37" t="s">
        <v>12</v>
      </c>
      <c r="D37" t="s">
        <v>15</v>
      </c>
      <c r="E37">
        <v>25.75</v>
      </c>
      <c r="F37">
        <v>261500</v>
      </c>
      <c r="G37" t="s">
        <v>16</v>
      </c>
      <c r="H37">
        <v>0</v>
      </c>
      <c r="I37">
        <v>0</v>
      </c>
      <c r="J37">
        <v>0</v>
      </c>
      <c r="L37" s="5" t="s">
        <v>473</v>
      </c>
      <c r="M37" s="4">
        <v>25.5</v>
      </c>
    </row>
    <row r="38" spans="1:15" x14ac:dyDescent="0.2">
      <c r="A38" t="s">
        <v>65</v>
      </c>
      <c r="B38" t="s">
        <v>74</v>
      </c>
      <c r="C38" t="s">
        <v>12</v>
      </c>
      <c r="D38" t="s">
        <v>13</v>
      </c>
      <c r="E38" s="9">
        <v>25.5</v>
      </c>
      <c r="F38" s="9">
        <v>993400</v>
      </c>
      <c r="G38" s="9" t="s">
        <v>75</v>
      </c>
      <c r="H38" s="9">
        <v>2.9411764705882351</v>
      </c>
      <c r="I38" s="9">
        <v>0.98039215686274506</v>
      </c>
      <c r="J38" s="9">
        <v>0.98039215686274506</v>
      </c>
      <c r="L38" s="5" t="s">
        <v>470</v>
      </c>
      <c r="M38" s="4">
        <f>MIN(E38:E48)</f>
        <v>25.25</v>
      </c>
      <c r="N38" s="5" t="s">
        <v>471</v>
      </c>
      <c r="O38" s="6">
        <f>((M39-M38)/M38)</f>
        <v>3.9603960396039604E-2</v>
      </c>
    </row>
    <row r="39" spans="1:15" x14ac:dyDescent="0.2">
      <c r="A39" s="2" t="s">
        <v>65</v>
      </c>
      <c r="B39" s="2" t="s">
        <v>74</v>
      </c>
      <c r="C39" s="2" t="s">
        <v>12</v>
      </c>
      <c r="D39" s="2" t="s">
        <v>25</v>
      </c>
      <c r="E39" s="2">
        <v>25.5</v>
      </c>
      <c r="F39" s="2">
        <v>993400</v>
      </c>
      <c r="G39" s="2" t="s">
        <v>76</v>
      </c>
      <c r="H39" s="2">
        <v>2.9411764705882351</v>
      </c>
      <c r="I39" s="2">
        <v>0.98039215686274506</v>
      </c>
      <c r="J39" s="2">
        <v>0.98039215686274506</v>
      </c>
      <c r="L39" s="5" t="s">
        <v>472</v>
      </c>
      <c r="M39" s="3">
        <f>MAX(E38:E48)</f>
        <v>26.25</v>
      </c>
      <c r="N39" s="5"/>
    </row>
    <row r="40" spans="1:15" x14ac:dyDescent="0.2">
      <c r="A40" t="s">
        <v>77</v>
      </c>
      <c r="B40" t="s">
        <v>78</v>
      </c>
      <c r="C40" t="s">
        <v>12</v>
      </c>
      <c r="D40" t="s">
        <v>13</v>
      </c>
      <c r="E40" s="12">
        <v>26.25</v>
      </c>
      <c r="F40">
        <v>860581</v>
      </c>
      <c r="G40" t="s">
        <v>79</v>
      </c>
      <c r="H40">
        <v>-1.9047619047619051</v>
      </c>
      <c r="I40">
        <v>-2.8571428571428572</v>
      </c>
      <c r="J40">
        <v>-1.9047619047619051</v>
      </c>
    </row>
    <row r="41" spans="1:15" x14ac:dyDescent="0.2">
      <c r="A41" t="s">
        <v>77</v>
      </c>
      <c r="B41" t="s">
        <v>78</v>
      </c>
      <c r="C41" t="s">
        <v>12</v>
      </c>
      <c r="D41" t="s">
        <v>25</v>
      </c>
      <c r="E41" s="12">
        <v>26.25</v>
      </c>
      <c r="F41">
        <v>860581</v>
      </c>
      <c r="G41" t="s">
        <v>76</v>
      </c>
      <c r="H41">
        <v>-1.9047619047619051</v>
      </c>
      <c r="I41">
        <v>-2.8571428571428572</v>
      </c>
      <c r="J41">
        <v>-1.9047619047619051</v>
      </c>
    </row>
    <row r="42" spans="1:15" x14ac:dyDescent="0.2">
      <c r="A42" t="s">
        <v>77</v>
      </c>
      <c r="B42" t="s">
        <v>80</v>
      </c>
      <c r="C42" t="s">
        <v>12</v>
      </c>
      <c r="D42" t="s">
        <v>25</v>
      </c>
      <c r="E42" s="12">
        <v>25.75</v>
      </c>
      <c r="F42">
        <v>274411</v>
      </c>
      <c r="G42" t="s">
        <v>81</v>
      </c>
      <c r="H42">
        <v>0</v>
      </c>
      <c r="I42">
        <v>0</v>
      </c>
      <c r="J42">
        <v>0</v>
      </c>
    </row>
    <row r="43" spans="1:15" x14ac:dyDescent="0.2">
      <c r="A43" t="s">
        <v>77</v>
      </c>
      <c r="B43" t="s">
        <v>82</v>
      </c>
      <c r="C43" t="s">
        <v>12</v>
      </c>
      <c r="D43" t="s">
        <v>25</v>
      </c>
      <c r="E43" s="12">
        <v>25.5</v>
      </c>
      <c r="F43">
        <v>386700</v>
      </c>
      <c r="G43" t="s">
        <v>81</v>
      </c>
      <c r="H43">
        <v>0</v>
      </c>
      <c r="I43">
        <v>0</v>
      </c>
      <c r="J43">
        <v>-0.98039215686274506</v>
      </c>
    </row>
    <row r="44" spans="1:15" x14ac:dyDescent="0.2">
      <c r="A44" t="s">
        <v>77</v>
      </c>
      <c r="B44" t="s">
        <v>83</v>
      </c>
      <c r="C44" t="s">
        <v>12</v>
      </c>
      <c r="D44" t="s">
        <v>13</v>
      </c>
      <c r="E44" s="12">
        <v>25.5</v>
      </c>
      <c r="F44">
        <v>1092000</v>
      </c>
      <c r="G44" t="s">
        <v>84</v>
      </c>
      <c r="H44">
        <v>0.98039215686274506</v>
      </c>
      <c r="I44">
        <v>0.98039215686274506</v>
      </c>
      <c r="J44">
        <v>0</v>
      </c>
    </row>
    <row r="45" spans="1:15" x14ac:dyDescent="0.2">
      <c r="A45" s="2" t="s">
        <v>77</v>
      </c>
      <c r="B45" s="2" t="s">
        <v>83</v>
      </c>
      <c r="C45" s="2" t="s">
        <v>12</v>
      </c>
      <c r="D45" s="2" t="s">
        <v>15</v>
      </c>
      <c r="E45" s="13">
        <v>25.5</v>
      </c>
      <c r="F45" s="2">
        <v>1092000</v>
      </c>
      <c r="G45" s="2" t="s">
        <v>16</v>
      </c>
      <c r="H45" s="2">
        <v>0.98039215686274506</v>
      </c>
      <c r="I45" s="2">
        <v>0.98039215686274506</v>
      </c>
      <c r="J45" s="2">
        <v>0</v>
      </c>
    </row>
    <row r="46" spans="1:15" x14ac:dyDescent="0.2">
      <c r="A46" t="s">
        <v>85</v>
      </c>
      <c r="B46" t="s">
        <v>86</v>
      </c>
      <c r="C46" t="s">
        <v>12</v>
      </c>
      <c r="D46" t="s">
        <v>25</v>
      </c>
      <c r="E46" s="12">
        <v>25.5</v>
      </c>
      <c r="F46">
        <v>0</v>
      </c>
      <c r="G46" t="s">
        <v>87</v>
      </c>
      <c r="H46">
        <v>-1.9607843137254899</v>
      </c>
      <c r="I46">
        <v>-0.98039215686274506</v>
      </c>
      <c r="J46">
        <v>0</v>
      </c>
    </row>
    <row r="47" spans="1:15" x14ac:dyDescent="0.2">
      <c r="A47" t="s">
        <v>85</v>
      </c>
      <c r="B47" t="s">
        <v>88</v>
      </c>
      <c r="C47" t="s">
        <v>12</v>
      </c>
      <c r="D47" t="s">
        <v>13</v>
      </c>
      <c r="E47" s="12">
        <v>25.25</v>
      </c>
      <c r="F47">
        <v>406808</v>
      </c>
      <c r="G47" t="s">
        <v>89</v>
      </c>
      <c r="H47">
        <v>-0.99009900990099009</v>
      </c>
      <c r="I47">
        <v>-0.99009900990099009</v>
      </c>
      <c r="J47">
        <v>0.99009900990099009</v>
      </c>
    </row>
    <row r="48" spans="1:15" x14ac:dyDescent="0.2">
      <c r="A48" t="s">
        <v>85</v>
      </c>
      <c r="B48" t="s">
        <v>88</v>
      </c>
      <c r="C48" t="s">
        <v>12</v>
      </c>
      <c r="D48" t="s">
        <v>15</v>
      </c>
      <c r="E48" s="12">
        <v>25.25</v>
      </c>
      <c r="F48">
        <v>406808</v>
      </c>
      <c r="G48" t="s">
        <v>16</v>
      </c>
      <c r="H48">
        <v>-0.99009900990099009</v>
      </c>
      <c r="I48">
        <v>-0.99009900990099009</v>
      </c>
      <c r="J48">
        <v>0.99009900990099009</v>
      </c>
      <c r="L48" s="5" t="s">
        <v>473</v>
      </c>
      <c r="M48" s="3">
        <v>25</v>
      </c>
    </row>
    <row r="49" spans="1:15" x14ac:dyDescent="0.2">
      <c r="A49" t="s">
        <v>85</v>
      </c>
      <c r="B49" t="s">
        <v>90</v>
      </c>
      <c r="C49" t="s">
        <v>12</v>
      </c>
      <c r="D49" t="s">
        <v>13</v>
      </c>
      <c r="E49" s="14">
        <v>25</v>
      </c>
      <c r="F49" s="9">
        <v>2682550</v>
      </c>
      <c r="G49" s="9" t="s">
        <v>91</v>
      </c>
      <c r="H49" s="9">
        <v>1</v>
      </c>
      <c r="I49" s="9">
        <v>0</v>
      </c>
      <c r="J49" s="9">
        <v>2</v>
      </c>
      <c r="L49" s="5" t="s">
        <v>470</v>
      </c>
      <c r="M49" s="3">
        <f>MIN(E49:E76)</f>
        <v>25</v>
      </c>
      <c r="N49" s="5" t="s">
        <v>471</v>
      </c>
      <c r="O49" s="6">
        <f>((M50-M49)/M49)</f>
        <v>0.06</v>
      </c>
    </row>
    <row r="50" spans="1:15" x14ac:dyDescent="0.2">
      <c r="A50" t="s">
        <v>85</v>
      </c>
      <c r="B50" t="s">
        <v>92</v>
      </c>
      <c r="C50" t="s">
        <v>12</v>
      </c>
      <c r="D50" t="s">
        <v>13</v>
      </c>
      <c r="E50" s="12">
        <v>25</v>
      </c>
      <c r="F50">
        <v>1413568</v>
      </c>
      <c r="G50" t="s">
        <v>93</v>
      </c>
      <c r="H50">
        <v>0</v>
      </c>
      <c r="I50">
        <v>2</v>
      </c>
      <c r="J50">
        <v>2</v>
      </c>
      <c r="L50" s="5" t="s">
        <v>472</v>
      </c>
      <c r="M50" s="4">
        <f>MAX(E49:E76)</f>
        <v>26.5</v>
      </c>
      <c r="N50" s="5"/>
    </row>
    <row r="51" spans="1:15" x14ac:dyDescent="0.2">
      <c r="A51" t="s">
        <v>85</v>
      </c>
      <c r="B51" t="s">
        <v>92</v>
      </c>
      <c r="C51" t="s">
        <v>12</v>
      </c>
      <c r="D51" t="s">
        <v>15</v>
      </c>
      <c r="E51" s="14">
        <v>25</v>
      </c>
      <c r="F51">
        <v>1413568</v>
      </c>
      <c r="G51" t="s">
        <v>16</v>
      </c>
      <c r="H51">
        <v>0</v>
      </c>
      <c r="I51">
        <v>2</v>
      </c>
      <c r="J51">
        <v>2</v>
      </c>
    </row>
    <row r="52" spans="1:15" x14ac:dyDescent="0.2">
      <c r="A52" t="s">
        <v>85</v>
      </c>
      <c r="B52" t="s">
        <v>94</v>
      </c>
      <c r="C52" t="s">
        <v>12</v>
      </c>
      <c r="D52" t="s">
        <v>25</v>
      </c>
      <c r="E52" s="12">
        <v>25.75</v>
      </c>
      <c r="F52">
        <v>280000</v>
      </c>
      <c r="G52" t="s">
        <v>76</v>
      </c>
      <c r="H52">
        <v>0</v>
      </c>
      <c r="I52">
        <v>0</v>
      </c>
      <c r="J52">
        <v>0</v>
      </c>
    </row>
    <row r="53" spans="1:15" x14ac:dyDescent="0.2">
      <c r="A53" t="s">
        <v>85</v>
      </c>
      <c r="B53" t="s">
        <v>95</v>
      </c>
      <c r="C53" t="s">
        <v>12</v>
      </c>
      <c r="D53" t="s">
        <v>13</v>
      </c>
      <c r="E53" s="14">
        <v>25.75</v>
      </c>
      <c r="F53">
        <v>1044100</v>
      </c>
      <c r="G53" t="s">
        <v>96</v>
      </c>
      <c r="H53">
        <v>0</v>
      </c>
      <c r="I53">
        <v>-0.97087378640776689</v>
      </c>
      <c r="J53">
        <v>1.941747572815534</v>
      </c>
    </row>
    <row r="54" spans="1:15" x14ac:dyDescent="0.2">
      <c r="A54" t="s">
        <v>85</v>
      </c>
      <c r="B54" t="s">
        <v>95</v>
      </c>
      <c r="C54" t="s">
        <v>12</v>
      </c>
      <c r="D54" t="s">
        <v>15</v>
      </c>
      <c r="E54" s="12">
        <v>25.75</v>
      </c>
      <c r="F54">
        <v>1044100</v>
      </c>
      <c r="G54" t="s">
        <v>16</v>
      </c>
      <c r="H54">
        <v>0</v>
      </c>
      <c r="I54">
        <v>-0.97087378640776689</v>
      </c>
      <c r="J54">
        <v>1.941747572815534</v>
      </c>
    </row>
    <row r="55" spans="1:15" x14ac:dyDescent="0.2">
      <c r="A55" t="s">
        <v>85</v>
      </c>
      <c r="B55" t="s">
        <v>97</v>
      </c>
      <c r="C55" t="s">
        <v>12</v>
      </c>
      <c r="D55" t="s">
        <v>13</v>
      </c>
      <c r="E55" s="16">
        <v>25.5</v>
      </c>
      <c r="F55">
        <v>598918</v>
      </c>
      <c r="G55" t="s">
        <v>98</v>
      </c>
      <c r="H55">
        <v>0</v>
      </c>
      <c r="I55">
        <v>0.98039215686274506</v>
      </c>
      <c r="J55">
        <v>3.9215686274509798</v>
      </c>
    </row>
    <row r="56" spans="1:15" x14ac:dyDescent="0.2">
      <c r="A56" s="2" t="s">
        <v>85</v>
      </c>
      <c r="B56" s="2" t="s">
        <v>97</v>
      </c>
      <c r="C56" s="2" t="s">
        <v>12</v>
      </c>
      <c r="D56" s="2" t="s">
        <v>25</v>
      </c>
      <c r="E56" s="13">
        <v>25.5</v>
      </c>
      <c r="F56" s="2">
        <v>598918</v>
      </c>
      <c r="G56" s="2" t="s">
        <v>81</v>
      </c>
      <c r="H56" s="2">
        <v>0</v>
      </c>
      <c r="I56" s="2">
        <v>0.98039215686274506</v>
      </c>
      <c r="J56" s="2">
        <v>3.9215686274509798</v>
      </c>
    </row>
    <row r="57" spans="1:15" x14ac:dyDescent="0.2">
      <c r="A57" t="s">
        <v>99</v>
      </c>
      <c r="B57" t="s">
        <v>100</v>
      </c>
      <c r="C57" t="s">
        <v>12</v>
      </c>
      <c r="D57" t="s">
        <v>25</v>
      </c>
      <c r="E57" s="14">
        <v>26.25</v>
      </c>
      <c r="F57">
        <v>0</v>
      </c>
      <c r="G57" t="s">
        <v>101</v>
      </c>
      <c r="H57">
        <v>0.95238095238095244</v>
      </c>
      <c r="I57">
        <v>0.95238095238095244</v>
      </c>
      <c r="J57">
        <v>0.95238095238095244</v>
      </c>
    </row>
    <row r="58" spans="1:15" x14ac:dyDescent="0.2">
      <c r="A58" t="s">
        <v>99</v>
      </c>
      <c r="B58" t="s">
        <v>102</v>
      </c>
      <c r="C58" t="s">
        <v>12</v>
      </c>
      <c r="D58" t="s">
        <v>13</v>
      </c>
      <c r="E58" s="12">
        <v>26.5</v>
      </c>
      <c r="F58">
        <v>505935</v>
      </c>
      <c r="G58" t="s">
        <v>103</v>
      </c>
      <c r="H58">
        <v>0</v>
      </c>
      <c r="I58">
        <v>0</v>
      </c>
      <c r="J58">
        <v>-0.94339622641509435</v>
      </c>
    </row>
    <row r="59" spans="1:15" x14ac:dyDescent="0.2">
      <c r="A59" t="s">
        <v>99</v>
      </c>
      <c r="B59" t="s">
        <v>104</v>
      </c>
      <c r="C59" t="s">
        <v>12</v>
      </c>
      <c r="D59" t="s">
        <v>13</v>
      </c>
      <c r="E59">
        <v>26.25</v>
      </c>
      <c r="F59">
        <v>397721</v>
      </c>
      <c r="G59" t="s">
        <v>105</v>
      </c>
      <c r="H59">
        <v>-0.95238095238095244</v>
      </c>
      <c r="I59">
        <v>0</v>
      </c>
      <c r="J59">
        <v>0</v>
      </c>
    </row>
    <row r="60" spans="1:15" x14ac:dyDescent="0.2">
      <c r="A60" t="s">
        <v>99</v>
      </c>
      <c r="B60" t="s">
        <v>106</v>
      </c>
      <c r="C60" t="s">
        <v>12</v>
      </c>
      <c r="D60" t="s">
        <v>13</v>
      </c>
      <c r="E60">
        <v>26.25</v>
      </c>
      <c r="F60">
        <v>307700</v>
      </c>
      <c r="G60" t="s">
        <v>107</v>
      </c>
      <c r="H60">
        <v>0</v>
      </c>
      <c r="I60">
        <v>-0.95238095238095244</v>
      </c>
      <c r="J60">
        <v>-0.95238095238095244</v>
      </c>
    </row>
    <row r="61" spans="1:15" x14ac:dyDescent="0.2">
      <c r="A61" t="s">
        <v>99</v>
      </c>
      <c r="B61" t="s">
        <v>106</v>
      </c>
      <c r="C61" t="s">
        <v>12</v>
      </c>
      <c r="D61" t="s">
        <v>15</v>
      </c>
      <c r="E61">
        <v>26.25</v>
      </c>
      <c r="F61">
        <v>307700</v>
      </c>
      <c r="G61" t="s">
        <v>16</v>
      </c>
      <c r="H61">
        <v>0</v>
      </c>
      <c r="I61">
        <v>-0.95238095238095244</v>
      </c>
      <c r="J61">
        <v>-0.95238095238095244</v>
      </c>
    </row>
    <row r="62" spans="1:15" x14ac:dyDescent="0.2">
      <c r="A62" t="s">
        <v>99</v>
      </c>
      <c r="B62" t="s">
        <v>108</v>
      </c>
      <c r="C62" t="s">
        <v>12</v>
      </c>
      <c r="D62" t="s">
        <v>13</v>
      </c>
      <c r="E62">
        <v>26</v>
      </c>
      <c r="F62">
        <v>254605</v>
      </c>
      <c r="G62" t="s">
        <v>109</v>
      </c>
      <c r="H62">
        <v>0</v>
      </c>
      <c r="I62">
        <v>0</v>
      </c>
      <c r="J62">
        <v>0</v>
      </c>
    </row>
    <row r="63" spans="1:15" x14ac:dyDescent="0.2">
      <c r="A63" t="s">
        <v>99</v>
      </c>
      <c r="B63" t="s">
        <v>110</v>
      </c>
      <c r="C63" t="s">
        <v>12</v>
      </c>
      <c r="D63" t="s">
        <v>13</v>
      </c>
      <c r="E63">
        <v>26</v>
      </c>
      <c r="F63">
        <v>332800</v>
      </c>
      <c r="G63" t="s">
        <v>111</v>
      </c>
      <c r="H63">
        <v>0</v>
      </c>
      <c r="I63">
        <v>0</v>
      </c>
      <c r="J63">
        <v>0</v>
      </c>
    </row>
    <row r="64" spans="1:15" x14ac:dyDescent="0.2">
      <c r="A64" t="s">
        <v>99</v>
      </c>
      <c r="B64" t="s">
        <v>110</v>
      </c>
      <c r="C64" t="s">
        <v>12</v>
      </c>
      <c r="D64" t="s">
        <v>25</v>
      </c>
      <c r="E64">
        <v>26</v>
      </c>
      <c r="F64">
        <v>332800</v>
      </c>
      <c r="G64" t="s">
        <v>81</v>
      </c>
      <c r="H64">
        <v>0</v>
      </c>
      <c r="I64">
        <v>0</v>
      </c>
      <c r="J64">
        <v>0</v>
      </c>
    </row>
    <row r="65" spans="1:15" x14ac:dyDescent="0.2">
      <c r="A65" t="s">
        <v>99</v>
      </c>
      <c r="B65" t="s">
        <v>110</v>
      </c>
      <c r="C65" t="s">
        <v>12</v>
      </c>
      <c r="D65" t="s">
        <v>15</v>
      </c>
      <c r="E65">
        <v>26</v>
      </c>
      <c r="F65">
        <v>332800</v>
      </c>
      <c r="G65" t="s">
        <v>16</v>
      </c>
      <c r="H65">
        <v>0</v>
      </c>
      <c r="I65">
        <v>0</v>
      </c>
      <c r="J65">
        <v>0</v>
      </c>
    </row>
    <row r="66" spans="1:15" x14ac:dyDescent="0.2">
      <c r="A66" t="s">
        <v>99</v>
      </c>
      <c r="B66" t="s">
        <v>112</v>
      </c>
      <c r="C66" t="s">
        <v>12</v>
      </c>
      <c r="D66" t="s">
        <v>13</v>
      </c>
      <c r="E66">
        <v>26</v>
      </c>
      <c r="F66">
        <v>432105</v>
      </c>
      <c r="G66" t="s">
        <v>113</v>
      </c>
      <c r="H66">
        <v>0</v>
      </c>
      <c r="I66">
        <v>0</v>
      </c>
      <c r="J66">
        <v>0</v>
      </c>
    </row>
    <row r="67" spans="1:15" x14ac:dyDescent="0.2">
      <c r="A67" t="s">
        <v>99</v>
      </c>
      <c r="B67" t="s">
        <v>112</v>
      </c>
      <c r="C67" t="s">
        <v>12</v>
      </c>
      <c r="D67" t="s">
        <v>15</v>
      </c>
      <c r="E67">
        <v>26</v>
      </c>
      <c r="F67">
        <v>432105</v>
      </c>
      <c r="G67" t="s">
        <v>16</v>
      </c>
      <c r="H67">
        <v>0</v>
      </c>
      <c r="I67">
        <v>0</v>
      </c>
      <c r="J67">
        <v>0</v>
      </c>
    </row>
    <row r="68" spans="1:15" x14ac:dyDescent="0.2">
      <c r="A68" t="s">
        <v>99</v>
      </c>
      <c r="B68" t="s">
        <v>114</v>
      </c>
      <c r="C68" t="s">
        <v>12</v>
      </c>
      <c r="D68" t="s">
        <v>13</v>
      </c>
      <c r="E68">
        <v>26</v>
      </c>
      <c r="F68">
        <v>357200</v>
      </c>
      <c r="G68" t="s">
        <v>115</v>
      </c>
      <c r="H68">
        <v>0</v>
      </c>
      <c r="I68">
        <v>0</v>
      </c>
      <c r="J68">
        <v>0</v>
      </c>
    </row>
    <row r="69" spans="1:15" x14ac:dyDescent="0.2">
      <c r="A69" s="2" t="s">
        <v>99</v>
      </c>
      <c r="B69" s="2" t="s">
        <v>114</v>
      </c>
      <c r="C69" s="2" t="s">
        <v>12</v>
      </c>
      <c r="D69" s="2" t="s">
        <v>15</v>
      </c>
      <c r="E69" s="2">
        <v>26</v>
      </c>
      <c r="F69" s="2">
        <v>357200</v>
      </c>
      <c r="G69" s="2" t="s">
        <v>16</v>
      </c>
      <c r="H69" s="2">
        <v>0</v>
      </c>
      <c r="I69" s="2">
        <v>0</v>
      </c>
      <c r="J69" s="2">
        <v>0</v>
      </c>
    </row>
    <row r="70" spans="1:15" x14ac:dyDescent="0.2">
      <c r="A70" t="s">
        <v>116</v>
      </c>
      <c r="B70" t="s">
        <v>117</v>
      </c>
      <c r="C70" t="s">
        <v>12</v>
      </c>
      <c r="D70" t="s">
        <v>25</v>
      </c>
      <c r="E70">
        <v>26.25</v>
      </c>
      <c r="F70">
        <v>0</v>
      </c>
      <c r="G70" t="s">
        <v>87</v>
      </c>
      <c r="H70">
        <v>-0.95238095238095244</v>
      </c>
      <c r="I70">
        <v>0</v>
      </c>
      <c r="J70">
        <v>0</v>
      </c>
    </row>
    <row r="71" spans="1:15" x14ac:dyDescent="0.2">
      <c r="A71" t="s">
        <v>116</v>
      </c>
      <c r="B71" t="s">
        <v>118</v>
      </c>
      <c r="C71" t="s">
        <v>12</v>
      </c>
      <c r="D71" t="s">
        <v>13</v>
      </c>
      <c r="E71">
        <v>26</v>
      </c>
      <c r="F71">
        <v>438015</v>
      </c>
      <c r="G71" t="s">
        <v>119</v>
      </c>
      <c r="H71">
        <v>0</v>
      </c>
      <c r="I71">
        <v>0</v>
      </c>
      <c r="J71">
        <v>0</v>
      </c>
    </row>
    <row r="72" spans="1:15" x14ac:dyDescent="0.2">
      <c r="A72" t="s">
        <v>116</v>
      </c>
      <c r="B72" t="s">
        <v>118</v>
      </c>
      <c r="C72" t="s">
        <v>12</v>
      </c>
      <c r="D72" t="s">
        <v>15</v>
      </c>
      <c r="E72">
        <v>26</v>
      </c>
      <c r="F72">
        <v>438015</v>
      </c>
      <c r="G72" t="s">
        <v>16</v>
      </c>
      <c r="H72">
        <v>0</v>
      </c>
      <c r="I72">
        <v>0</v>
      </c>
      <c r="J72">
        <v>0</v>
      </c>
    </row>
    <row r="73" spans="1:15" x14ac:dyDescent="0.2">
      <c r="A73" t="s">
        <v>116</v>
      </c>
      <c r="B73" t="s">
        <v>120</v>
      </c>
      <c r="C73" t="s">
        <v>12</v>
      </c>
      <c r="D73" t="s">
        <v>13</v>
      </c>
      <c r="E73">
        <v>26</v>
      </c>
      <c r="F73">
        <v>570004</v>
      </c>
      <c r="G73" t="s">
        <v>121</v>
      </c>
      <c r="H73">
        <v>0</v>
      </c>
      <c r="I73">
        <v>0</v>
      </c>
      <c r="J73">
        <v>0.96153846153846156</v>
      </c>
    </row>
    <row r="74" spans="1:15" x14ac:dyDescent="0.2">
      <c r="A74" t="s">
        <v>116</v>
      </c>
      <c r="B74" t="s">
        <v>120</v>
      </c>
      <c r="C74" t="s">
        <v>12</v>
      </c>
      <c r="D74" t="s">
        <v>15</v>
      </c>
      <c r="E74" s="9">
        <v>26</v>
      </c>
      <c r="F74">
        <v>570004</v>
      </c>
      <c r="G74" t="s">
        <v>16</v>
      </c>
      <c r="H74">
        <v>0</v>
      </c>
      <c r="I74">
        <v>0</v>
      </c>
      <c r="J74">
        <v>0.96153846153846156</v>
      </c>
    </row>
    <row r="75" spans="1:15" x14ac:dyDescent="0.2">
      <c r="A75" t="s">
        <v>116</v>
      </c>
      <c r="B75" t="s">
        <v>122</v>
      </c>
      <c r="C75" t="s">
        <v>12</v>
      </c>
      <c r="D75" t="s">
        <v>13</v>
      </c>
      <c r="E75">
        <v>26</v>
      </c>
      <c r="F75">
        <v>610800</v>
      </c>
      <c r="G75" t="s">
        <v>123</v>
      </c>
      <c r="H75">
        <v>-0.96153846153846156</v>
      </c>
      <c r="I75">
        <v>0</v>
      </c>
      <c r="J75">
        <v>0</v>
      </c>
    </row>
    <row r="76" spans="1:15" x14ac:dyDescent="0.2">
      <c r="A76" t="s">
        <v>116</v>
      </c>
      <c r="B76" t="s">
        <v>122</v>
      </c>
      <c r="C76" t="s">
        <v>12</v>
      </c>
      <c r="D76" t="s">
        <v>15</v>
      </c>
      <c r="E76">
        <v>26</v>
      </c>
      <c r="F76">
        <v>610800</v>
      </c>
      <c r="G76" t="s">
        <v>16</v>
      </c>
      <c r="H76">
        <v>-0.96153846153846156</v>
      </c>
      <c r="I76">
        <v>0</v>
      </c>
      <c r="J76">
        <v>0</v>
      </c>
      <c r="L76" s="5" t="s">
        <v>473</v>
      </c>
      <c r="M76" s="4">
        <v>25.5</v>
      </c>
    </row>
    <row r="77" spans="1:15" x14ac:dyDescent="0.2">
      <c r="A77" t="s">
        <v>116</v>
      </c>
      <c r="B77" t="s">
        <v>124</v>
      </c>
      <c r="C77" t="s">
        <v>12</v>
      </c>
      <c r="D77" t="s">
        <v>13</v>
      </c>
      <c r="E77" s="9">
        <v>25.5</v>
      </c>
      <c r="F77" s="9">
        <v>1457794</v>
      </c>
      <c r="G77" s="9" t="s">
        <v>125</v>
      </c>
      <c r="H77" s="9">
        <v>1.9607843137254899</v>
      </c>
      <c r="I77" s="9">
        <v>1.9607843137254899</v>
      </c>
      <c r="J77" s="9">
        <v>1.9607843137254899</v>
      </c>
      <c r="L77" s="5" t="s">
        <v>470</v>
      </c>
      <c r="M77" s="4">
        <f>MIN(E77:E112)</f>
        <v>25.25</v>
      </c>
      <c r="N77" s="5" t="s">
        <v>471</v>
      </c>
      <c r="O77" s="6">
        <f>((M78-M77)/M77)</f>
        <v>1.9801980198019802E-2</v>
      </c>
    </row>
    <row r="78" spans="1:15" x14ac:dyDescent="0.2">
      <c r="A78" t="s">
        <v>116</v>
      </c>
      <c r="B78" t="s">
        <v>126</v>
      </c>
      <c r="C78" t="s">
        <v>12</v>
      </c>
      <c r="D78" t="s">
        <v>13</v>
      </c>
      <c r="E78">
        <v>25.5</v>
      </c>
      <c r="F78">
        <v>369600</v>
      </c>
      <c r="G78" t="s">
        <v>127</v>
      </c>
      <c r="H78">
        <v>0.98039215686274506</v>
      </c>
      <c r="I78">
        <v>0</v>
      </c>
      <c r="J78">
        <v>0.98039215686274506</v>
      </c>
      <c r="L78" s="5" t="s">
        <v>472</v>
      </c>
      <c r="M78" s="3">
        <f>MAX(E77:E112)</f>
        <v>25.75</v>
      </c>
      <c r="N78" s="5"/>
    </row>
    <row r="79" spans="1:15" x14ac:dyDescent="0.2">
      <c r="A79" t="s">
        <v>116</v>
      </c>
      <c r="B79" t="s">
        <v>128</v>
      </c>
      <c r="C79" t="s">
        <v>12</v>
      </c>
      <c r="D79" t="s">
        <v>13</v>
      </c>
      <c r="E79">
        <v>25.5</v>
      </c>
      <c r="F79">
        <v>608300</v>
      </c>
      <c r="G79" t="s">
        <v>129</v>
      </c>
      <c r="H79">
        <v>0.98039215686274506</v>
      </c>
      <c r="I79">
        <v>0.98039215686274506</v>
      </c>
      <c r="J79">
        <v>0.98039215686274506</v>
      </c>
    </row>
    <row r="80" spans="1:15" x14ac:dyDescent="0.2">
      <c r="A80" s="2" t="s">
        <v>116</v>
      </c>
      <c r="B80" s="2" t="s">
        <v>128</v>
      </c>
      <c r="C80" s="2" t="s">
        <v>12</v>
      </c>
      <c r="D80" s="2" t="s">
        <v>15</v>
      </c>
      <c r="E80" s="2">
        <v>25.5</v>
      </c>
      <c r="F80" s="2">
        <v>608300</v>
      </c>
      <c r="G80" s="2" t="s">
        <v>16</v>
      </c>
      <c r="H80" s="2">
        <v>0.98039215686274506</v>
      </c>
      <c r="I80" s="2">
        <v>0.98039215686274506</v>
      </c>
      <c r="J80" s="2">
        <v>0.98039215686274506</v>
      </c>
    </row>
    <row r="81" spans="1:10" x14ac:dyDescent="0.2">
      <c r="A81" t="s">
        <v>130</v>
      </c>
      <c r="B81" t="s">
        <v>131</v>
      </c>
      <c r="C81" t="s">
        <v>12</v>
      </c>
      <c r="D81" t="s">
        <v>13</v>
      </c>
      <c r="E81" s="12">
        <v>25.5</v>
      </c>
      <c r="F81">
        <v>400825</v>
      </c>
      <c r="G81" t="s">
        <v>132</v>
      </c>
      <c r="H81">
        <v>0.98039215686274506</v>
      </c>
      <c r="I81">
        <v>0.98039215686274506</v>
      </c>
      <c r="J81">
        <v>0.98039215686274506</v>
      </c>
    </row>
    <row r="82" spans="1:10" x14ac:dyDescent="0.2">
      <c r="A82" t="s">
        <v>130</v>
      </c>
      <c r="B82" t="s">
        <v>133</v>
      </c>
      <c r="C82" t="s">
        <v>12</v>
      </c>
      <c r="D82" t="s">
        <v>13</v>
      </c>
      <c r="E82" s="12">
        <v>25.5</v>
      </c>
      <c r="F82">
        <v>281906</v>
      </c>
      <c r="G82" t="s">
        <v>134</v>
      </c>
      <c r="H82">
        <v>0.98039215686274506</v>
      </c>
      <c r="I82">
        <v>0</v>
      </c>
      <c r="J82">
        <v>0.98039215686274506</v>
      </c>
    </row>
    <row r="83" spans="1:10" x14ac:dyDescent="0.2">
      <c r="A83" t="s">
        <v>130</v>
      </c>
      <c r="B83" t="s">
        <v>133</v>
      </c>
      <c r="C83" t="s">
        <v>12</v>
      </c>
      <c r="D83" t="s">
        <v>15</v>
      </c>
      <c r="E83" s="12">
        <v>25.5</v>
      </c>
      <c r="F83">
        <v>281906</v>
      </c>
      <c r="G83" t="s">
        <v>16</v>
      </c>
      <c r="H83">
        <v>0.98039215686274506</v>
      </c>
      <c r="I83">
        <v>0</v>
      </c>
      <c r="J83">
        <v>0.98039215686274506</v>
      </c>
    </row>
    <row r="84" spans="1:10" x14ac:dyDescent="0.2">
      <c r="A84" t="s">
        <v>130</v>
      </c>
      <c r="B84" t="s">
        <v>135</v>
      </c>
      <c r="C84" t="s">
        <v>12</v>
      </c>
      <c r="D84" t="s">
        <v>13</v>
      </c>
      <c r="E84" s="12">
        <v>25.5</v>
      </c>
      <c r="F84">
        <v>315607</v>
      </c>
      <c r="G84" t="s">
        <v>136</v>
      </c>
      <c r="H84">
        <v>0.98039215686274506</v>
      </c>
      <c r="I84">
        <v>0</v>
      </c>
      <c r="J84">
        <v>0.98039215686274506</v>
      </c>
    </row>
    <row r="85" spans="1:10" x14ac:dyDescent="0.2">
      <c r="A85" t="s">
        <v>130</v>
      </c>
      <c r="B85" t="s">
        <v>135</v>
      </c>
      <c r="C85" t="s">
        <v>12</v>
      </c>
      <c r="D85" t="s">
        <v>15</v>
      </c>
      <c r="E85" s="12">
        <v>25.5</v>
      </c>
      <c r="F85">
        <v>315607</v>
      </c>
      <c r="G85" t="s">
        <v>16</v>
      </c>
      <c r="H85">
        <v>0.98039215686274506</v>
      </c>
      <c r="I85">
        <v>0</v>
      </c>
      <c r="J85">
        <v>0.98039215686274506</v>
      </c>
    </row>
    <row r="86" spans="1:10" x14ac:dyDescent="0.2">
      <c r="A86" t="s">
        <v>130</v>
      </c>
      <c r="B86" t="s">
        <v>137</v>
      </c>
      <c r="C86" t="s">
        <v>12</v>
      </c>
      <c r="D86" t="s">
        <v>13</v>
      </c>
      <c r="E86" s="12">
        <v>25.75</v>
      </c>
      <c r="F86">
        <v>640400</v>
      </c>
      <c r="G86" t="s">
        <v>138</v>
      </c>
      <c r="H86">
        <v>0</v>
      </c>
      <c r="I86">
        <v>0</v>
      </c>
      <c r="J86">
        <v>-0.97087378640776689</v>
      </c>
    </row>
    <row r="87" spans="1:10" x14ac:dyDescent="0.2">
      <c r="A87" t="s">
        <v>130</v>
      </c>
      <c r="B87" t="s">
        <v>137</v>
      </c>
      <c r="C87" t="s">
        <v>12</v>
      </c>
      <c r="D87" t="s">
        <v>15</v>
      </c>
      <c r="E87" s="12">
        <v>25.75</v>
      </c>
      <c r="F87">
        <v>640400</v>
      </c>
      <c r="G87" t="s">
        <v>16</v>
      </c>
      <c r="H87">
        <v>0</v>
      </c>
      <c r="I87">
        <v>0</v>
      </c>
      <c r="J87">
        <v>-0.97087378640776689</v>
      </c>
    </row>
    <row r="88" spans="1:10" x14ac:dyDescent="0.2">
      <c r="A88" t="s">
        <v>130</v>
      </c>
      <c r="B88" t="s">
        <v>139</v>
      </c>
      <c r="C88" t="s">
        <v>12</v>
      </c>
      <c r="D88" t="s">
        <v>13</v>
      </c>
      <c r="E88" s="12">
        <v>25.75</v>
      </c>
      <c r="F88">
        <v>147500</v>
      </c>
      <c r="G88" t="s">
        <v>140</v>
      </c>
      <c r="H88">
        <v>-0.97087378640776689</v>
      </c>
      <c r="I88">
        <v>-0.97087378640776689</v>
      </c>
      <c r="J88">
        <v>-0.97087378640776689</v>
      </c>
    </row>
    <row r="89" spans="1:10" x14ac:dyDescent="0.2">
      <c r="A89" t="s">
        <v>130</v>
      </c>
      <c r="B89" t="s">
        <v>139</v>
      </c>
      <c r="C89" t="s">
        <v>12</v>
      </c>
      <c r="D89" t="s">
        <v>15</v>
      </c>
      <c r="E89" s="12">
        <v>25.75</v>
      </c>
      <c r="F89">
        <v>147500</v>
      </c>
      <c r="G89" t="s">
        <v>16</v>
      </c>
      <c r="H89">
        <v>-0.97087378640776689</v>
      </c>
      <c r="I89">
        <v>-0.97087378640776689</v>
      </c>
      <c r="J89">
        <v>-0.97087378640776689</v>
      </c>
    </row>
    <row r="90" spans="1:10" x14ac:dyDescent="0.2">
      <c r="A90" t="s">
        <v>130</v>
      </c>
      <c r="B90" t="s">
        <v>141</v>
      </c>
      <c r="C90" t="s">
        <v>12</v>
      </c>
      <c r="D90" t="s">
        <v>13</v>
      </c>
      <c r="E90" s="12">
        <v>25.5</v>
      </c>
      <c r="F90">
        <v>935800</v>
      </c>
      <c r="G90" t="s">
        <v>142</v>
      </c>
      <c r="H90">
        <v>0</v>
      </c>
      <c r="I90">
        <v>-0.98039215686274506</v>
      </c>
      <c r="J90">
        <v>0</v>
      </c>
    </row>
    <row r="91" spans="1:10" x14ac:dyDescent="0.2">
      <c r="A91" t="s">
        <v>130</v>
      </c>
      <c r="B91" t="s">
        <v>143</v>
      </c>
      <c r="C91" t="s">
        <v>12</v>
      </c>
      <c r="D91" t="s">
        <v>13</v>
      </c>
      <c r="E91" s="14">
        <v>25.25</v>
      </c>
      <c r="F91">
        <v>964100</v>
      </c>
      <c r="G91" t="s">
        <v>144</v>
      </c>
      <c r="H91" s="9">
        <v>0.99009900990099009</v>
      </c>
      <c r="I91" s="9">
        <v>0.99009900990099009</v>
      </c>
      <c r="J91">
        <v>0</v>
      </c>
    </row>
    <row r="92" spans="1:10" x14ac:dyDescent="0.2">
      <c r="A92" t="s">
        <v>130</v>
      </c>
      <c r="B92" t="s">
        <v>143</v>
      </c>
      <c r="C92" t="s">
        <v>12</v>
      </c>
      <c r="D92" t="s">
        <v>25</v>
      </c>
      <c r="E92" s="12">
        <v>25.25</v>
      </c>
      <c r="F92">
        <v>964100</v>
      </c>
      <c r="G92" t="s">
        <v>145</v>
      </c>
      <c r="H92">
        <v>0.99009900990099009</v>
      </c>
      <c r="I92">
        <v>0.99009900990099009</v>
      </c>
      <c r="J92">
        <v>0</v>
      </c>
    </row>
    <row r="93" spans="1:10" x14ac:dyDescent="0.2">
      <c r="A93" t="s">
        <v>130</v>
      </c>
      <c r="B93" t="s">
        <v>146</v>
      </c>
      <c r="C93" t="s">
        <v>12</v>
      </c>
      <c r="D93" t="s">
        <v>13</v>
      </c>
      <c r="E93" s="12">
        <v>25.5</v>
      </c>
      <c r="F93">
        <v>687300</v>
      </c>
      <c r="G93" t="s">
        <v>147</v>
      </c>
      <c r="H93">
        <v>-0.98039215686274506</v>
      </c>
      <c r="I93">
        <v>0</v>
      </c>
      <c r="J93">
        <v>0</v>
      </c>
    </row>
    <row r="94" spans="1:10" x14ac:dyDescent="0.2">
      <c r="A94" s="2" t="s">
        <v>130</v>
      </c>
      <c r="B94" s="2" t="s">
        <v>146</v>
      </c>
      <c r="C94" s="2" t="s">
        <v>12</v>
      </c>
      <c r="D94" s="2" t="s">
        <v>25</v>
      </c>
      <c r="E94" s="13">
        <v>25.5</v>
      </c>
      <c r="F94" s="2">
        <v>687300</v>
      </c>
      <c r="G94" s="2" t="s">
        <v>81</v>
      </c>
      <c r="H94" s="2">
        <v>-0.98039215686274506</v>
      </c>
      <c r="I94" s="2">
        <v>0</v>
      </c>
      <c r="J94" s="2">
        <v>0</v>
      </c>
    </row>
    <row r="95" spans="1:10" x14ac:dyDescent="0.2">
      <c r="A95" t="s">
        <v>148</v>
      </c>
      <c r="B95" t="s">
        <v>149</v>
      </c>
      <c r="C95" t="s">
        <v>12</v>
      </c>
      <c r="D95" t="s">
        <v>13</v>
      </c>
      <c r="E95">
        <v>25.5</v>
      </c>
      <c r="F95">
        <v>65000</v>
      </c>
      <c r="G95" t="s">
        <v>150</v>
      </c>
      <c r="H95">
        <v>0</v>
      </c>
      <c r="I95">
        <v>0</v>
      </c>
      <c r="J95">
        <v>0</v>
      </c>
    </row>
    <row r="96" spans="1:10" x14ac:dyDescent="0.2">
      <c r="A96" t="s">
        <v>148</v>
      </c>
      <c r="B96" t="s">
        <v>149</v>
      </c>
      <c r="C96" t="s">
        <v>12</v>
      </c>
      <c r="D96" t="s">
        <v>15</v>
      </c>
      <c r="E96">
        <v>25.5</v>
      </c>
      <c r="F96">
        <v>65000</v>
      </c>
      <c r="G96" t="s">
        <v>16</v>
      </c>
      <c r="H96">
        <v>0</v>
      </c>
      <c r="I96">
        <v>0</v>
      </c>
      <c r="J96">
        <v>0</v>
      </c>
    </row>
    <row r="97" spans="1:13" x14ac:dyDescent="0.2">
      <c r="A97" t="s">
        <v>148</v>
      </c>
      <c r="B97" t="s">
        <v>151</v>
      </c>
      <c r="C97" t="s">
        <v>12</v>
      </c>
      <c r="D97" t="s">
        <v>13</v>
      </c>
      <c r="E97" s="12">
        <v>25.25</v>
      </c>
      <c r="F97">
        <v>106605</v>
      </c>
      <c r="G97" t="s">
        <v>152</v>
      </c>
      <c r="H97">
        <v>0.99009900990099009</v>
      </c>
      <c r="I97">
        <v>0</v>
      </c>
      <c r="J97">
        <v>0.99009900990099009</v>
      </c>
    </row>
    <row r="98" spans="1:13" x14ac:dyDescent="0.2">
      <c r="A98" t="s">
        <v>148</v>
      </c>
      <c r="B98" t="s">
        <v>153</v>
      </c>
      <c r="C98" t="s">
        <v>12</v>
      </c>
      <c r="D98" t="s">
        <v>13</v>
      </c>
      <c r="E98" s="12">
        <v>25.5</v>
      </c>
      <c r="F98">
        <v>1240405</v>
      </c>
      <c r="G98" t="s">
        <v>154</v>
      </c>
      <c r="H98">
        <v>0</v>
      </c>
      <c r="I98">
        <v>0</v>
      </c>
      <c r="J98">
        <v>0</v>
      </c>
    </row>
    <row r="99" spans="1:13" x14ac:dyDescent="0.2">
      <c r="A99" t="s">
        <v>148</v>
      </c>
      <c r="B99" t="s">
        <v>153</v>
      </c>
      <c r="C99" t="s">
        <v>12</v>
      </c>
      <c r="D99" t="s">
        <v>15</v>
      </c>
      <c r="E99" s="12">
        <v>25.5</v>
      </c>
      <c r="F99">
        <v>1240405</v>
      </c>
      <c r="G99" t="s">
        <v>16</v>
      </c>
      <c r="H99">
        <v>0</v>
      </c>
      <c r="I99">
        <v>0</v>
      </c>
      <c r="J99">
        <v>0</v>
      </c>
    </row>
    <row r="100" spans="1:13" x14ac:dyDescent="0.2">
      <c r="A100" t="s">
        <v>148</v>
      </c>
      <c r="B100" t="s">
        <v>155</v>
      </c>
      <c r="C100" t="s">
        <v>12</v>
      </c>
      <c r="D100" t="s">
        <v>13</v>
      </c>
      <c r="E100" s="12">
        <v>25.25</v>
      </c>
      <c r="F100">
        <v>74510</v>
      </c>
      <c r="G100" t="s">
        <v>156</v>
      </c>
      <c r="H100">
        <v>0.99009900990099009</v>
      </c>
      <c r="I100">
        <v>0.99009900990099009</v>
      </c>
      <c r="J100">
        <v>0</v>
      </c>
    </row>
    <row r="101" spans="1:13" x14ac:dyDescent="0.2">
      <c r="A101" t="s">
        <v>148</v>
      </c>
      <c r="B101" t="s">
        <v>157</v>
      </c>
      <c r="C101" t="s">
        <v>12</v>
      </c>
      <c r="D101" t="s">
        <v>13</v>
      </c>
      <c r="E101" s="12">
        <v>25.25</v>
      </c>
      <c r="F101">
        <v>73200</v>
      </c>
      <c r="G101" t="s">
        <v>158</v>
      </c>
      <c r="H101">
        <v>0.99009900990099009</v>
      </c>
      <c r="I101">
        <v>0</v>
      </c>
      <c r="J101">
        <v>0.99009900990099009</v>
      </c>
    </row>
    <row r="102" spans="1:13" x14ac:dyDescent="0.2">
      <c r="A102" s="2" t="s">
        <v>148</v>
      </c>
      <c r="B102" s="2" t="s">
        <v>157</v>
      </c>
      <c r="C102" s="2" t="s">
        <v>12</v>
      </c>
      <c r="D102" s="2" t="s">
        <v>15</v>
      </c>
      <c r="E102" s="13">
        <v>25.25</v>
      </c>
      <c r="F102" s="2">
        <v>73200</v>
      </c>
      <c r="G102" s="2" t="s">
        <v>16</v>
      </c>
      <c r="H102" s="2">
        <v>0.99009900990099009</v>
      </c>
      <c r="I102" s="2">
        <v>0</v>
      </c>
      <c r="J102" s="2">
        <v>0.99009900990099009</v>
      </c>
    </row>
    <row r="103" spans="1:13" x14ac:dyDescent="0.2">
      <c r="A103" t="s">
        <v>159</v>
      </c>
      <c r="B103" t="s">
        <v>160</v>
      </c>
      <c r="C103" t="s">
        <v>12</v>
      </c>
      <c r="D103" t="s">
        <v>13</v>
      </c>
      <c r="E103" s="12">
        <v>25.5</v>
      </c>
      <c r="F103">
        <v>369902</v>
      </c>
      <c r="G103" t="s">
        <v>161</v>
      </c>
      <c r="H103">
        <v>0</v>
      </c>
      <c r="I103">
        <v>-0.98039215686274506</v>
      </c>
      <c r="J103">
        <v>-0.98039215686274506</v>
      </c>
    </row>
    <row r="104" spans="1:13" x14ac:dyDescent="0.2">
      <c r="A104" t="s">
        <v>159</v>
      </c>
      <c r="B104" t="s">
        <v>160</v>
      </c>
      <c r="C104" t="s">
        <v>12</v>
      </c>
      <c r="D104" t="s">
        <v>25</v>
      </c>
      <c r="E104" s="12">
        <v>25.5</v>
      </c>
      <c r="F104">
        <v>369902</v>
      </c>
      <c r="G104" t="s">
        <v>76</v>
      </c>
      <c r="H104">
        <v>0</v>
      </c>
      <c r="I104">
        <v>-0.98039215686274506</v>
      </c>
      <c r="J104">
        <v>-0.98039215686274506</v>
      </c>
    </row>
    <row r="105" spans="1:13" x14ac:dyDescent="0.2">
      <c r="A105" t="s">
        <v>159</v>
      </c>
      <c r="B105" t="s">
        <v>160</v>
      </c>
      <c r="C105" t="s">
        <v>12</v>
      </c>
      <c r="D105" t="s">
        <v>15</v>
      </c>
      <c r="E105" s="12">
        <v>25.5</v>
      </c>
      <c r="F105">
        <v>369902</v>
      </c>
      <c r="G105" t="s">
        <v>16</v>
      </c>
      <c r="H105">
        <v>0</v>
      </c>
      <c r="I105">
        <v>-0.98039215686274506</v>
      </c>
      <c r="J105">
        <v>-0.98039215686274506</v>
      </c>
    </row>
    <row r="106" spans="1:13" x14ac:dyDescent="0.2">
      <c r="A106" t="s">
        <v>159</v>
      </c>
      <c r="B106" t="s">
        <v>162</v>
      </c>
      <c r="C106" t="s">
        <v>12</v>
      </c>
      <c r="D106" t="s">
        <v>13</v>
      </c>
      <c r="E106" s="12">
        <v>25.25</v>
      </c>
      <c r="F106">
        <v>494400</v>
      </c>
      <c r="G106" t="s">
        <v>163</v>
      </c>
      <c r="H106">
        <v>0</v>
      </c>
      <c r="I106">
        <v>0</v>
      </c>
      <c r="J106">
        <v>0.99009900990099009</v>
      </c>
    </row>
    <row r="107" spans="1:13" x14ac:dyDescent="0.2">
      <c r="A107" t="s">
        <v>159</v>
      </c>
      <c r="B107" t="s">
        <v>162</v>
      </c>
      <c r="C107" t="s">
        <v>12</v>
      </c>
      <c r="D107" t="s">
        <v>25</v>
      </c>
      <c r="E107" s="12">
        <v>25.25</v>
      </c>
      <c r="F107">
        <v>494400</v>
      </c>
      <c r="G107" t="s">
        <v>81</v>
      </c>
      <c r="H107">
        <v>0</v>
      </c>
      <c r="I107">
        <v>0</v>
      </c>
      <c r="J107">
        <v>0.99009900990099009</v>
      </c>
    </row>
    <row r="108" spans="1:13" x14ac:dyDescent="0.2">
      <c r="A108" t="s">
        <v>159</v>
      </c>
      <c r="B108" t="s">
        <v>162</v>
      </c>
      <c r="C108" t="s">
        <v>12</v>
      </c>
      <c r="D108" t="s">
        <v>15</v>
      </c>
      <c r="E108" s="12">
        <v>25.25</v>
      </c>
      <c r="F108">
        <v>494400</v>
      </c>
      <c r="G108" t="s">
        <v>16</v>
      </c>
      <c r="H108">
        <v>0</v>
      </c>
      <c r="I108">
        <v>0</v>
      </c>
      <c r="J108">
        <v>0.99009900990099009</v>
      </c>
    </row>
    <row r="109" spans="1:13" x14ac:dyDescent="0.2">
      <c r="A109" t="s">
        <v>159</v>
      </c>
      <c r="B109" t="s">
        <v>164</v>
      </c>
      <c r="C109" t="s">
        <v>12</v>
      </c>
      <c r="D109" t="s">
        <v>13</v>
      </c>
      <c r="E109" s="12">
        <v>25.75</v>
      </c>
      <c r="F109">
        <v>287610</v>
      </c>
      <c r="G109" t="s">
        <v>165</v>
      </c>
      <c r="H109">
        <v>0</v>
      </c>
      <c r="I109">
        <v>0</v>
      </c>
      <c r="J109">
        <v>-1.941747572815534</v>
      </c>
    </row>
    <row r="110" spans="1:13" x14ac:dyDescent="0.2">
      <c r="A110" t="s">
        <v>159</v>
      </c>
      <c r="B110" t="s">
        <v>166</v>
      </c>
      <c r="C110" t="s">
        <v>12</v>
      </c>
      <c r="D110" t="s">
        <v>13</v>
      </c>
      <c r="E110" s="12">
        <v>25.25</v>
      </c>
      <c r="F110">
        <v>164216</v>
      </c>
      <c r="G110" t="s">
        <v>167</v>
      </c>
      <c r="H110">
        <v>0.99009900990099009</v>
      </c>
      <c r="I110">
        <v>0.99009900990099009</v>
      </c>
      <c r="J110">
        <v>0.99009900990099009</v>
      </c>
    </row>
    <row r="111" spans="1:13" x14ac:dyDescent="0.2">
      <c r="A111" t="s">
        <v>159</v>
      </c>
      <c r="B111" t="s">
        <v>168</v>
      </c>
      <c r="C111" t="s">
        <v>12</v>
      </c>
      <c r="D111" t="s">
        <v>13</v>
      </c>
      <c r="E111" s="12">
        <v>25.75</v>
      </c>
      <c r="F111">
        <v>228300</v>
      </c>
      <c r="G111" t="s">
        <v>169</v>
      </c>
      <c r="H111">
        <v>-1.941747572815534</v>
      </c>
      <c r="I111">
        <v>-0.97087378640776689</v>
      </c>
      <c r="J111">
        <v>-0.97087378640776689</v>
      </c>
    </row>
    <row r="112" spans="1:13" x14ac:dyDescent="0.2">
      <c r="A112" t="s">
        <v>159</v>
      </c>
      <c r="B112" t="s">
        <v>168</v>
      </c>
      <c r="C112" t="s">
        <v>12</v>
      </c>
      <c r="D112" t="s">
        <v>25</v>
      </c>
      <c r="E112" s="12">
        <v>25.75</v>
      </c>
      <c r="F112">
        <v>228300</v>
      </c>
      <c r="G112" t="s">
        <v>170</v>
      </c>
      <c r="H112">
        <v>-1.941747572815534</v>
      </c>
      <c r="I112">
        <v>-0.97087378640776689</v>
      </c>
      <c r="J112">
        <v>-0.97087378640776689</v>
      </c>
      <c r="L112" s="5" t="s">
        <v>473</v>
      </c>
      <c r="M112" s="3">
        <v>25.25</v>
      </c>
    </row>
    <row r="113" spans="1:15" x14ac:dyDescent="0.2">
      <c r="A113" t="s">
        <v>159</v>
      </c>
      <c r="B113" t="s">
        <v>171</v>
      </c>
      <c r="C113" t="s">
        <v>12</v>
      </c>
      <c r="D113" t="s">
        <v>13</v>
      </c>
      <c r="E113" s="14">
        <v>25.25</v>
      </c>
      <c r="F113" s="9">
        <v>190675</v>
      </c>
      <c r="G113" s="9" t="s">
        <v>172</v>
      </c>
      <c r="H113" s="9">
        <v>0.99009900990099009</v>
      </c>
      <c r="I113" s="9">
        <v>0</v>
      </c>
      <c r="J113" s="9">
        <v>1.98019801980198</v>
      </c>
      <c r="L113" s="5" t="s">
        <v>470</v>
      </c>
      <c r="M113" s="8">
        <f>MIN(E113:E133)</f>
        <v>25.25</v>
      </c>
      <c r="N113" s="5" t="s">
        <v>471</v>
      </c>
      <c r="O113" s="6">
        <f>((M114-M113)/M113)</f>
        <v>2.9702970297029702E-2</v>
      </c>
    </row>
    <row r="114" spans="1:15" x14ac:dyDescent="0.2">
      <c r="A114" t="s">
        <v>159</v>
      </c>
      <c r="B114" t="s">
        <v>173</v>
      </c>
      <c r="C114" t="s">
        <v>12</v>
      </c>
      <c r="D114" t="s">
        <v>13</v>
      </c>
      <c r="E114">
        <v>25.75</v>
      </c>
      <c r="F114">
        <v>332900</v>
      </c>
      <c r="G114" t="s">
        <v>174</v>
      </c>
      <c r="H114">
        <v>0</v>
      </c>
      <c r="I114">
        <v>-0.97087378640776689</v>
      </c>
      <c r="J114">
        <v>0</v>
      </c>
      <c r="L114" s="5" t="s">
        <v>472</v>
      </c>
      <c r="M114" s="4">
        <f>MAX(E113:E133)</f>
        <v>26</v>
      </c>
      <c r="N114" s="5"/>
    </row>
    <row r="115" spans="1:15" x14ac:dyDescent="0.2">
      <c r="A115" s="2" t="s">
        <v>159</v>
      </c>
      <c r="B115" s="2" t="s">
        <v>175</v>
      </c>
      <c r="C115" s="2" t="s">
        <v>12</v>
      </c>
      <c r="D115" s="2" t="s">
        <v>13</v>
      </c>
      <c r="E115" s="11">
        <v>25.5</v>
      </c>
      <c r="F115" s="2">
        <v>578103</v>
      </c>
      <c r="G115" s="2" t="s">
        <v>176</v>
      </c>
      <c r="H115" s="2">
        <v>0</v>
      </c>
      <c r="I115" s="2">
        <v>0.98039215686274506</v>
      </c>
      <c r="J115" s="2">
        <v>0.98039215686274506</v>
      </c>
    </row>
    <row r="116" spans="1:15" x14ac:dyDescent="0.2">
      <c r="A116" t="s">
        <v>177</v>
      </c>
      <c r="B116" t="s">
        <v>178</v>
      </c>
      <c r="C116" t="s">
        <v>12</v>
      </c>
      <c r="D116" t="s">
        <v>13</v>
      </c>
      <c r="E116">
        <v>25.75</v>
      </c>
      <c r="F116">
        <v>215499</v>
      </c>
      <c r="G116" t="s">
        <v>179</v>
      </c>
      <c r="H116">
        <v>0</v>
      </c>
      <c r="I116">
        <v>0</v>
      </c>
      <c r="J116">
        <v>0.97087378640776689</v>
      </c>
    </row>
    <row r="117" spans="1:15" x14ac:dyDescent="0.2">
      <c r="A117" t="s">
        <v>177</v>
      </c>
      <c r="B117" t="s">
        <v>178</v>
      </c>
      <c r="C117" t="s">
        <v>12</v>
      </c>
      <c r="D117" t="s">
        <v>15</v>
      </c>
      <c r="E117" s="9">
        <v>25.75</v>
      </c>
      <c r="F117">
        <v>215499</v>
      </c>
      <c r="G117" t="s">
        <v>16</v>
      </c>
      <c r="H117">
        <v>0</v>
      </c>
      <c r="I117">
        <v>0</v>
      </c>
      <c r="J117">
        <v>0.97087378640776689</v>
      </c>
    </row>
    <row r="118" spans="1:15" x14ac:dyDescent="0.2">
      <c r="A118" t="s">
        <v>177</v>
      </c>
      <c r="B118" t="s">
        <v>180</v>
      </c>
      <c r="C118" t="s">
        <v>12</v>
      </c>
      <c r="D118" t="s">
        <v>13</v>
      </c>
      <c r="E118">
        <v>25.75</v>
      </c>
      <c r="F118">
        <v>1318410</v>
      </c>
      <c r="G118" t="s">
        <v>181</v>
      </c>
      <c r="H118">
        <v>0.97087378640776689</v>
      </c>
      <c r="I118">
        <v>0.97087378640776689</v>
      </c>
      <c r="J118">
        <v>0</v>
      </c>
    </row>
    <row r="119" spans="1:15" x14ac:dyDescent="0.2">
      <c r="A119" t="s">
        <v>177</v>
      </c>
      <c r="B119" t="s">
        <v>180</v>
      </c>
      <c r="C119" t="s">
        <v>12</v>
      </c>
      <c r="D119" t="s">
        <v>25</v>
      </c>
      <c r="E119">
        <v>25.75</v>
      </c>
      <c r="F119">
        <v>1318410</v>
      </c>
      <c r="G119" t="s">
        <v>76</v>
      </c>
      <c r="H119">
        <v>0.97087378640776689</v>
      </c>
      <c r="I119">
        <v>0.97087378640776689</v>
      </c>
      <c r="J119">
        <v>0</v>
      </c>
    </row>
    <row r="120" spans="1:15" x14ac:dyDescent="0.2">
      <c r="A120" t="s">
        <v>177</v>
      </c>
      <c r="B120" t="s">
        <v>180</v>
      </c>
      <c r="C120" t="s">
        <v>12</v>
      </c>
      <c r="D120" t="s">
        <v>15</v>
      </c>
      <c r="E120">
        <v>25.75</v>
      </c>
      <c r="F120">
        <v>1318410</v>
      </c>
      <c r="G120" t="s">
        <v>16</v>
      </c>
      <c r="H120">
        <v>0.97087378640776689</v>
      </c>
      <c r="I120">
        <v>0.97087378640776689</v>
      </c>
      <c r="J120">
        <v>0</v>
      </c>
    </row>
    <row r="121" spans="1:15" x14ac:dyDescent="0.2">
      <c r="A121" t="s">
        <v>177</v>
      </c>
      <c r="B121" t="s">
        <v>182</v>
      </c>
      <c r="C121" t="s">
        <v>12</v>
      </c>
      <c r="D121" t="s">
        <v>25</v>
      </c>
      <c r="E121">
        <v>25.75</v>
      </c>
      <c r="F121">
        <v>212121</v>
      </c>
      <c r="G121" t="s">
        <v>81</v>
      </c>
      <c r="H121">
        <v>0</v>
      </c>
      <c r="I121">
        <v>0.97087378640776689</v>
      </c>
      <c r="J121">
        <v>0.97087378640776689</v>
      </c>
    </row>
    <row r="122" spans="1:15" x14ac:dyDescent="0.2">
      <c r="A122" t="s">
        <v>177</v>
      </c>
      <c r="B122" t="s">
        <v>183</v>
      </c>
      <c r="C122" t="s">
        <v>12</v>
      </c>
      <c r="D122" t="s">
        <v>13</v>
      </c>
      <c r="E122">
        <v>26</v>
      </c>
      <c r="F122">
        <v>757424</v>
      </c>
      <c r="G122" t="s">
        <v>184</v>
      </c>
      <c r="H122">
        <v>0</v>
      </c>
      <c r="I122">
        <v>-0.96153846153846156</v>
      </c>
      <c r="J122">
        <v>0</v>
      </c>
    </row>
    <row r="123" spans="1:15" x14ac:dyDescent="0.2">
      <c r="A123" t="s">
        <v>177</v>
      </c>
      <c r="B123" t="s">
        <v>185</v>
      </c>
      <c r="C123" t="s">
        <v>12</v>
      </c>
      <c r="D123" t="s">
        <v>13</v>
      </c>
      <c r="E123">
        <v>25.75</v>
      </c>
      <c r="F123">
        <v>465806</v>
      </c>
      <c r="G123" t="s">
        <v>186</v>
      </c>
      <c r="H123">
        <v>0</v>
      </c>
      <c r="I123">
        <v>-0.97087378640776689</v>
      </c>
      <c r="J123">
        <v>0</v>
      </c>
    </row>
    <row r="124" spans="1:15" x14ac:dyDescent="0.2">
      <c r="A124" t="s">
        <v>177</v>
      </c>
      <c r="B124" t="s">
        <v>185</v>
      </c>
      <c r="C124" t="s">
        <v>12</v>
      </c>
      <c r="D124" t="s">
        <v>15</v>
      </c>
      <c r="E124">
        <v>25.75</v>
      </c>
      <c r="F124">
        <v>465806</v>
      </c>
      <c r="G124" t="s">
        <v>16</v>
      </c>
      <c r="H124">
        <v>0</v>
      </c>
      <c r="I124">
        <v>-0.97087378640776689</v>
      </c>
      <c r="J124">
        <v>0</v>
      </c>
    </row>
    <row r="125" spans="1:15" x14ac:dyDescent="0.2">
      <c r="A125" t="s">
        <v>177</v>
      </c>
      <c r="B125" t="s">
        <v>187</v>
      </c>
      <c r="C125" t="s">
        <v>12</v>
      </c>
      <c r="D125" t="s">
        <v>13</v>
      </c>
      <c r="E125" s="9">
        <v>25.75</v>
      </c>
      <c r="F125">
        <v>744500</v>
      </c>
      <c r="G125" t="s">
        <v>188</v>
      </c>
      <c r="H125">
        <v>0</v>
      </c>
      <c r="I125">
        <v>0</v>
      </c>
      <c r="J125">
        <v>0.97087378640776689</v>
      </c>
    </row>
    <row r="126" spans="1:15" x14ac:dyDescent="0.2">
      <c r="A126" t="s">
        <v>177</v>
      </c>
      <c r="B126" t="s">
        <v>187</v>
      </c>
      <c r="C126" t="s">
        <v>12</v>
      </c>
      <c r="D126" t="s">
        <v>15</v>
      </c>
      <c r="E126">
        <v>25.75</v>
      </c>
      <c r="F126">
        <v>744500</v>
      </c>
      <c r="G126" t="s">
        <v>16</v>
      </c>
      <c r="H126">
        <v>0</v>
      </c>
      <c r="I126">
        <v>0</v>
      </c>
      <c r="J126">
        <v>0.97087378640776689</v>
      </c>
    </row>
    <row r="127" spans="1:15" x14ac:dyDescent="0.2">
      <c r="A127" s="2" t="s">
        <v>177</v>
      </c>
      <c r="B127" s="2" t="s">
        <v>189</v>
      </c>
      <c r="C127" s="2" t="s">
        <v>12</v>
      </c>
      <c r="D127" s="2" t="s">
        <v>25</v>
      </c>
      <c r="E127" s="2">
        <v>26</v>
      </c>
      <c r="F127" s="2">
        <v>281000</v>
      </c>
      <c r="G127" s="2" t="s">
        <v>170</v>
      </c>
      <c r="H127" s="2">
        <v>0</v>
      </c>
      <c r="I127" s="2">
        <v>0</v>
      </c>
      <c r="J127" s="2">
        <v>-0.96153846153846156</v>
      </c>
    </row>
    <row r="128" spans="1:15" x14ac:dyDescent="0.2">
      <c r="A128" t="s">
        <v>190</v>
      </c>
      <c r="B128" t="s">
        <v>191</v>
      </c>
      <c r="C128" t="s">
        <v>12</v>
      </c>
      <c r="D128" t="s">
        <v>13</v>
      </c>
      <c r="E128">
        <v>26</v>
      </c>
      <c r="F128">
        <v>511530</v>
      </c>
      <c r="G128" t="s">
        <v>192</v>
      </c>
      <c r="H128">
        <v>-0.96153846153846156</v>
      </c>
      <c r="I128">
        <v>-0.96153846153846156</v>
      </c>
      <c r="J128">
        <v>-0.96153846153846156</v>
      </c>
    </row>
    <row r="129" spans="1:15" x14ac:dyDescent="0.2">
      <c r="A129" t="s">
        <v>190</v>
      </c>
      <c r="B129" t="s">
        <v>193</v>
      </c>
      <c r="C129" t="s">
        <v>12</v>
      </c>
      <c r="D129" t="s">
        <v>13</v>
      </c>
      <c r="E129">
        <v>26</v>
      </c>
      <c r="F129">
        <v>864500</v>
      </c>
      <c r="G129" t="s">
        <v>194</v>
      </c>
      <c r="H129">
        <v>0</v>
      </c>
      <c r="I129">
        <v>0</v>
      </c>
      <c r="J129">
        <v>-0.96153846153846156</v>
      </c>
    </row>
    <row r="130" spans="1:15" x14ac:dyDescent="0.2">
      <c r="A130" t="s">
        <v>190</v>
      </c>
      <c r="B130" t="s">
        <v>193</v>
      </c>
      <c r="C130" t="s">
        <v>12</v>
      </c>
      <c r="D130" t="s">
        <v>15</v>
      </c>
      <c r="E130">
        <v>26</v>
      </c>
      <c r="F130">
        <v>864500</v>
      </c>
      <c r="G130" t="s">
        <v>16</v>
      </c>
      <c r="H130">
        <v>0</v>
      </c>
      <c r="I130">
        <v>0</v>
      </c>
      <c r="J130">
        <v>-0.96153846153846156</v>
      </c>
    </row>
    <row r="131" spans="1:15" x14ac:dyDescent="0.2">
      <c r="A131" t="s">
        <v>190</v>
      </c>
      <c r="B131" t="s">
        <v>195</v>
      </c>
      <c r="C131" t="s">
        <v>12</v>
      </c>
      <c r="D131" t="s">
        <v>13</v>
      </c>
      <c r="E131">
        <v>25.75</v>
      </c>
      <c r="F131">
        <v>616120</v>
      </c>
      <c r="G131" t="s">
        <v>196</v>
      </c>
      <c r="H131">
        <v>0.97087378640776689</v>
      </c>
      <c r="I131">
        <v>0.97087378640776689</v>
      </c>
      <c r="J131">
        <v>-0.97087378640776689</v>
      </c>
    </row>
    <row r="132" spans="1:15" x14ac:dyDescent="0.2">
      <c r="A132" t="s">
        <v>190</v>
      </c>
      <c r="B132" t="s">
        <v>197</v>
      </c>
      <c r="C132" t="s">
        <v>12</v>
      </c>
      <c r="D132" t="s">
        <v>13</v>
      </c>
      <c r="E132">
        <v>25.5</v>
      </c>
      <c r="F132">
        <v>1692000</v>
      </c>
      <c r="G132" t="s">
        <v>198</v>
      </c>
      <c r="H132">
        <v>-0.98039215686274506</v>
      </c>
      <c r="I132">
        <v>-0.98039215686274506</v>
      </c>
      <c r="J132">
        <v>0</v>
      </c>
    </row>
    <row r="133" spans="1:15" x14ac:dyDescent="0.2">
      <c r="A133" t="s">
        <v>190</v>
      </c>
      <c r="B133" t="s">
        <v>197</v>
      </c>
      <c r="C133" t="s">
        <v>12</v>
      </c>
      <c r="D133" t="s">
        <v>25</v>
      </c>
      <c r="E133">
        <v>25.5</v>
      </c>
      <c r="F133">
        <v>1692000</v>
      </c>
      <c r="G133" t="s">
        <v>199</v>
      </c>
      <c r="H133">
        <v>-0.98039215686274506</v>
      </c>
      <c r="I133">
        <v>-0.98039215686274506</v>
      </c>
      <c r="J133">
        <v>0</v>
      </c>
      <c r="L133" s="5" t="s">
        <v>473</v>
      </c>
      <c r="M133" s="3">
        <v>25</v>
      </c>
    </row>
    <row r="134" spans="1:15" x14ac:dyDescent="0.2">
      <c r="A134" t="s">
        <v>190</v>
      </c>
      <c r="B134" t="s">
        <v>200</v>
      </c>
      <c r="C134" t="s">
        <v>12</v>
      </c>
      <c r="D134" t="s">
        <v>13</v>
      </c>
      <c r="E134" s="9">
        <v>25</v>
      </c>
      <c r="F134" s="9">
        <v>1314699</v>
      </c>
      <c r="G134" s="9" t="s">
        <v>201</v>
      </c>
      <c r="H134" s="9">
        <v>2</v>
      </c>
      <c r="I134" s="9">
        <v>2</v>
      </c>
      <c r="J134" s="9">
        <v>2</v>
      </c>
      <c r="L134" s="5" t="s">
        <v>470</v>
      </c>
      <c r="M134" s="3">
        <f>MIN(E134:E147)</f>
        <v>25</v>
      </c>
      <c r="N134" s="5" t="s">
        <v>471</v>
      </c>
      <c r="O134" s="6">
        <f>((M135-M134)/M134)</f>
        <v>0.03</v>
      </c>
    </row>
    <row r="135" spans="1:15" x14ac:dyDescent="0.2">
      <c r="A135" t="s">
        <v>190</v>
      </c>
      <c r="B135" t="s">
        <v>202</v>
      </c>
      <c r="C135" t="s">
        <v>12</v>
      </c>
      <c r="D135" t="s">
        <v>13</v>
      </c>
      <c r="E135">
        <v>25</v>
      </c>
      <c r="F135">
        <v>581203</v>
      </c>
      <c r="G135" t="s">
        <v>203</v>
      </c>
      <c r="H135">
        <v>1</v>
      </c>
      <c r="I135">
        <v>2</v>
      </c>
      <c r="J135">
        <v>3</v>
      </c>
      <c r="L135" s="5" t="s">
        <v>472</v>
      </c>
      <c r="M135" s="3">
        <f>MAX(E134:E147)</f>
        <v>25.75</v>
      </c>
      <c r="N135" s="5"/>
    </row>
    <row r="136" spans="1:15" x14ac:dyDescent="0.2">
      <c r="A136" t="s">
        <v>190</v>
      </c>
      <c r="B136" t="s">
        <v>204</v>
      </c>
      <c r="C136" t="s">
        <v>12</v>
      </c>
      <c r="D136" t="s">
        <v>13</v>
      </c>
      <c r="E136" s="9">
        <v>25.5</v>
      </c>
      <c r="F136">
        <v>636107</v>
      </c>
      <c r="G136" t="s">
        <v>205</v>
      </c>
      <c r="H136">
        <v>0</v>
      </c>
      <c r="I136">
        <v>0</v>
      </c>
      <c r="J136">
        <v>0.98039215686274506</v>
      </c>
    </row>
    <row r="137" spans="1:15" x14ac:dyDescent="0.2">
      <c r="A137" t="s">
        <v>190</v>
      </c>
      <c r="B137" t="s">
        <v>206</v>
      </c>
      <c r="C137" t="s">
        <v>12</v>
      </c>
      <c r="D137" t="s">
        <v>13</v>
      </c>
      <c r="E137">
        <v>25.5</v>
      </c>
      <c r="F137">
        <v>614695</v>
      </c>
      <c r="G137" t="s">
        <v>207</v>
      </c>
      <c r="H137">
        <v>0.98039215686274506</v>
      </c>
      <c r="I137">
        <v>0.98039215686274506</v>
      </c>
      <c r="J137">
        <v>0.98039215686274506</v>
      </c>
    </row>
    <row r="138" spans="1:15" x14ac:dyDescent="0.2">
      <c r="A138" t="s">
        <v>190</v>
      </c>
      <c r="B138" t="s">
        <v>206</v>
      </c>
      <c r="C138" t="s">
        <v>12</v>
      </c>
      <c r="D138" t="s">
        <v>15</v>
      </c>
      <c r="E138">
        <v>25.5</v>
      </c>
      <c r="F138">
        <v>614695</v>
      </c>
      <c r="G138" t="s">
        <v>16</v>
      </c>
      <c r="H138">
        <v>0.98039215686274506</v>
      </c>
      <c r="I138">
        <v>0.98039215686274506</v>
      </c>
      <c r="J138">
        <v>0.98039215686274506</v>
      </c>
    </row>
    <row r="139" spans="1:15" x14ac:dyDescent="0.2">
      <c r="A139" s="2" t="s">
        <v>190</v>
      </c>
      <c r="B139" s="2" t="s">
        <v>208</v>
      </c>
      <c r="C139" s="2" t="s">
        <v>12</v>
      </c>
      <c r="D139" s="2" t="s">
        <v>25</v>
      </c>
      <c r="E139" s="2">
        <v>25.5</v>
      </c>
      <c r="F139" s="2">
        <v>234624</v>
      </c>
      <c r="G139" s="2" t="s">
        <v>81</v>
      </c>
      <c r="H139" s="2">
        <v>0</v>
      </c>
      <c r="I139" s="2">
        <v>0.98039215686274506</v>
      </c>
      <c r="J139" s="2">
        <v>0.98039215686274506</v>
      </c>
    </row>
    <row r="140" spans="1:15" x14ac:dyDescent="0.2">
      <c r="A140" t="s">
        <v>209</v>
      </c>
      <c r="B140" t="s">
        <v>210</v>
      </c>
      <c r="C140" t="s">
        <v>12</v>
      </c>
      <c r="D140" t="s">
        <v>13</v>
      </c>
      <c r="E140">
        <v>25.75</v>
      </c>
      <c r="F140">
        <v>717700</v>
      </c>
      <c r="G140" t="s">
        <v>211</v>
      </c>
      <c r="H140">
        <v>-0.97087378640776689</v>
      </c>
      <c r="I140">
        <v>0</v>
      </c>
      <c r="J140">
        <v>-0.97087378640776689</v>
      </c>
    </row>
    <row r="141" spans="1:15" x14ac:dyDescent="0.2">
      <c r="A141" t="s">
        <v>209</v>
      </c>
      <c r="B141" t="s">
        <v>210</v>
      </c>
      <c r="C141" t="s">
        <v>12</v>
      </c>
      <c r="D141" t="s">
        <v>25</v>
      </c>
      <c r="E141">
        <v>25.75</v>
      </c>
      <c r="F141">
        <v>717700</v>
      </c>
      <c r="G141" t="s">
        <v>81</v>
      </c>
      <c r="H141">
        <v>-0.97087378640776689</v>
      </c>
      <c r="I141">
        <v>0</v>
      </c>
      <c r="J141">
        <v>-0.97087378640776689</v>
      </c>
    </row>
    <row r="142" spans="1:15" x14ac:dyDescent="0.2">
      <c r="A142" t="s">
        <v>209</v>
      </c>
      <c r="B142" t="s">
        <v>212</v>
      </c>
      <c r="C142" t="s">
        <v>12</v>
      </c>
      <c r="D142" t="s">
        <v>13</v>
      </c>
      <c r="E142">
        <v>25.75</v>
      </c>
      <c r="F142">
        <v>386610</v>
      </c>
      <c r="G142" t="s">
        <v>213</v>
      </c>
      <c r="H142">
        <v>-0.97087378640776689</v>
      </c>
      <c r="I142">
        <v>0</v>
      </c>
      <c r="J142">
        <v>-0.97087378640776689</v>
      </c>
    </row>
    <row r="143" spans="1:15" x14ac:dyDescent="0.2">
      <c r="A143" t="s">
        <v>209</v>
      </c>
      <c r="B143" t="s">
        <v>212</v>
      </c>
      <c r="C143" t="s">
        <v>12</v>
      </c>
      <c r="D143" t="s">
        <v>15</v>
      </c>
      <c r="E143">
        <v>25.75</v>
      </c>
      <c r="F143">
        <v>386610</v>
      </c>
      <c r="G143" t="s">
        <v>16</v>
      </c>
      <c r="H143">
        <v>-0.97087378640776689</v>
      </c>
      <c r="I143">
        <v>0</v>
      </c>
      <c r="J143">
        <v>-0.97087378640776689</v>
      </c>
    </row>
    <row r="144" spans="1:15" x14ac:dyDescent="0.2">
      <c r="A144" t="s">
        <v>209</v>
      </c>
      <c r="B144" t="s">
        <v>214</v>
      </c>
      <c r="C144" t="s">
        <v>12</v>
      </c>
      <c r="D144" t="s">
        <v>13</v>
      </c>
      <c r="E144" s="9">
        <v>25.5</v>
      </c>
      <c r="F144">
        <v>1447600</v>
      </c>
      <c r="G144" t="s">
        <v>215</v>
      </c>
      <c r="H144">
        <v>0.98039215686274506</v>
      </c>
      <c r="I144">
        <v>0.98039215686274506</v>
      </c>
      <c r="J144">
        <v>0</v>
      </c>
    </row>
    <row r="145" spans="1:15" x14ac:dyDescent="0.2">
      <c r="A145" t="s">
        <v>209</v>
      </c>
      <c r="B145" t="s">
        <v>214</v>
      </c>
      <c r="C145" t="s">
        <v>12</v>
      </c>
      <c r="D145" t="s">
        <v>15</v>
      </c>
      <c r="E145">
        <v>25.5</v>
      </c>
      <c r="F145">
        <v>1447600</v>
      </c>
      <c r="G145" t="s">
        <v>16</v>
      </c>
      <c r="H145">
        <v>0.98039215686274506</v>
      </c>
      <c r="I145">
        <v>0.98039215686274506</v>
      </c>
      <c r="J145">
        <v>0</v>
      </c>
    </row>
    <row r="146" spans="1:15" x14ac:dyDescent="0.2">
      <c r="A146" t="s">
        <v>209</v>
      </c>
      <c r="B146" t="s">
        <v>216</v>
      </c>
      <c r="C146" t="s">
        <v>12</v>
      </c>
      <c r="D146" t="s">
        <v>13</v>
      </c>
      <c r="E146">
        <v>25.5</v>
      </c>
      <c r="F146">
        <v>847800</v>
      </c>
      <c r="G146" t="s">
        <v>217</v>
      </c>
      <c r="H146">
        <v>0</v>
      </c>
      <c r="I146">
        <v>0</v>
      </c>
      <c r="J146">
        <v>0.98039215686274506</v>
      </c>
    </row>
    <row r="147" spans="1:15" x14ac:dyDescent="0.2">
      <c r="A147" t="s">
        <v>209</v>
      </c>
      <c r="B147" t="s">
        <v>216</v>
      </c>
      <c r="C147" t="s">
        <v>12</v>
      </c>
      <c r="D147" t="s">
        <v>15</v>
      </c>
      <c r="E147">
        <v>25.5</v>
      </c>
      <c r="F147">
        <v>847800</v>
      </c>
      <c r="G147" t="s">
        <v>16</v>
      </c>
      <c r="H147">
        <v>0</v>
      </c>
      <c r="I147">
        <v>0</v>
      </c>
      <c r="J147">
        <v>0.98039215686274506</v>
      </c>
      <c r="L147" s="5" t="s">
        <v>473</v>
      </c>
      <c r="M147" s="4">
        <v>25.5</v>
      </c>
    </row>
    <row r="148" spans="1:15" x14ac:dyDescent="0.2">
      <c r="A148" t="s">
        <v>209</v>
      </c>
      <c r="B148" t="s">
        <v>218</v>
      </c>
      <c r="C148" t="s">
        <v>12</v>
      </c>
      <c r="D148" t="s">
        <v>13</v>
      </c>
      <c r="E148" s="9">
        <v>25.5</v>
      </c>
      <c r="F148" s="9">
        <v>1053301</v>
      </c>
      <c r="G148" s="9" t="s">
        <v>219</v>
      </c>
      <c r="H148" s="9">
        <v>0.98039215686274506</v>
      </c>
      <c r="I148" s="9">
        <v>0</v>
      </c>
      <c r="J148" s="9">
        <v>1.9607843137254899</v>
      </c>
      <c r="L148" s="5" t="s">
        <v>470</v>
      </c>
      <c r="M148" s="4">
        <f>MIN(E148:E156)</f>
        <v>25.5</v>
      </c>
      <c r="N148" s="5" t="s">
        <v>471</v>
      </c>
      <c r="O148" s="6">
        <f>((M149-M148)/M148)</f>
        <v>9.8039215686274508E-3</v>
      </c>
    </row>
    <row r="149" spans="1:15" x14ac:dyDescent="0.2">
      <c r="A149" t="s">
        <v>209</v>
      </c>
      <c r="B149" t="s">
        <v>218</v>
      </c>
      <c r="C149" t="s">
        <v>12</v>
      </c>
      <c r="D149" t="s">
        <v>15</v>
      </c>
      <c r="E149">
        <v>25.5</v>
      </c>
      <c r="F149">
        <v>1053301</v>
      </c>
      <c r="G149" t="s">
        <v>16</v>
      </c>
      <c r="H149">
        <v>0.98039215686274506</v>
      </c>
      <c r="I149">
        <v>0</v>
      </c>
      <c r="J149">
        <v>1.9607843137254899</v>
      </c>
      <c r="L149" s="5" t="s">
        <v>472</v>
      </c>
      <c r="M149" s="8">
        <f>MAX(E148:E156)</f>
        <v>25.75</v>
      </c>
      <c r="N149" s="5"/>
    </row>
    <row r="150" spans="1:15" x14ac:dyDescent="0.2">
      <c r="A150" t="s">
        <v>209</v>
      </c>
      <c r="B150" t="s">
        <v>220</v>
      </c>
      <c r="C150" t="s">
        <v>12</v>
      </c>
      <c r="D150" t="s">
        <v>13</v>
      </c>
      <c r="E150">
        <v>25.5</v>
      </c>
      <c r="F150">
        <v>554200</v>
      </c>
      <c r="G150" t="s">
        <v>221</v>
      </c>
      <c r="H150">
        <v>0.98039215686274506</v>
      </c>
      <c r="I150">
        <v>0.98039215686274506</v>
      </c>
      <c r="J150">
        <v>0.98039215686274506</v>
      </c>
    </row>
    <row r="151" spans="1:15" x14ac:dyDescent="0.2">
      <c r="A151" t="s">
        <v>209</v>
      </c>
      <c r="B151" t="s">
        <v>220</v>
      </c>
      <c r="C151" t="s">
        <v>12</v>
      </c>
      <c r="D151" t="s">
        <v>15</v>
      </c>
      <c r="E151">
        <v>25.5</v>
      </c>
      <c r="F151">
        <v>554200</v>
      </c>
      <c r="G151" t="s">
        <v>16</v>
      </c>
      <c r="H151">
        <v>0.98039215686274506</v>
      </c>
      <c r="I151">
        <v>0.98039215686274506</v>
      </c>
      <c r="J151">
        <v>0.98039215686274506</v>
      </c>
    </row>
    <row r="152" spans="1:15" x14ac:dyDescent="0.2">
      <c r="A152" t="s">
        <v>209</v>
      </c>
      <c r="B152" t="s">
        <v>222</v>
      </c>
      <c r="C152" t="s">
        <v>12</v>
      </c>
      <c r="D152" t="s">
        <v>13</v>
      </c>
      <c r="E152" s="9">
        <v>25.5</v>
      </c>
      <c r="F152">
        <v>871500</v>
      </c>
      <c r="G152" t="s">
        <v>223</v>
      </c>
      <c r="H152">
        <v>0.98039215686274506</v>
      </c>
      <c r="I152">
        <v>1.9607843137254899</v>
      </c>
      <c r="J152">
        <v>0</v>
      </c>
    </row>
    <row r="153" spans="1:15" x14ac:dyDescent="0.2">
      <c r="A153" t="s">
        <v>209</v>
      </c>
      <c r="B153" t="s">
        <v>222</v>
      </c>
      <c r="C153" t="s">
        <v>12</v>
      </c>
      <c r="D153" t="s">
        <v>15</v>
      </c>
      <c r="E153">
        <v>25.5</v>
      </c>
      <c r="F153">
        <v>871500</v>
      </c>
      <c r="G153" t="s">
        <v>16</v>
      </c>
      <c r="H153">
        <v>0.98039215686274506</v>
      </c>
      <c r="I153">
        <v>1.9607843137254899</v>
      </c>
      <c r="J153">
        <v>0</v>
      </c>
    </row>
    <row r="154" spans="1:15" x14ac:dyDescent="0.2">
      <c r="A154" t="s">
        <v>209</v>
      </c>
      <c r="B154" t="s">
        <v>224</v>
      </c>
      <c r="C154" t="s">
        <v>12</v>
      </c>
      <c r="D154" t="s">
        <v>13</v>
      </c>
      <c r="E154">
        <v>25.75</v>
      </c>
      <c r="F154">
        <v>752400</v>
      </c>
      <c r="G154" t="s">
        <v>225</v>
      </c>
      <c r="H154">
        <v>0.97087378640776689</v>
      </c>
      <c r="I154">
        <v>0</v>
      </c>
      <c r="J154">
        <v>0</v>
      </c>
    </row>
    <row r="155" spans="1:15" x14ac:dyDescent="0.2">
      <c r="A155" t="s">
        <v>209</v>
      </c>
      <c r="B155" t="s">
        <v>224</v>
      </c>
      <c r="C155" t="s">
        <v>12</v>
      </c>
      <c r="D155" t="s">
        <v>15</v>
      </c>
      <c r="E155">
        <v>25.75</v>
      </c>
      <c r="F155">
        <v>752400</v>
      </c>
      <c r="G155" t="s">
        <v>16</v>
      </c>
      <c r="H155">
        <v>0.97087378640776689</v>
      </c>
      <c r="I155">
        <v>0</v>
      </c>
      <c r="J155">
        <v>0</v>
      </c>
    </row>
    <row r="156" spans="1:15" x14ac:dyDescent="0.2">
      <c r="A156" s="2" t="s">
        <v>209</v>
      </c>
      <c r="B156" s="2" t="s">
        <v>226</v>
      </c>
      <c r="C156" s="2" t="s">
        <v>12</v>
      </c>
      <c r="D156" s="2" t="s">
        <v>13</v>
      </c>
      <c r="E156" s="2">
        <v>25.75</v>
      </c>
      <c r="F156" s="2">
        <v>914090</v>
      </c>
      <c r="G156" s="2" t="s">
        <v>227</v>
      </c>
      <c r="H156" s="2">
        <v>0</v>
      </c>
      <c r="I156" s="2">
        <v>-0.97087378640776689</v>
      </c>
      <c r="J156" s="2">
        <v>-0.97087378640776689</v>
      </c>
      <c r="L156" s="5" t="s">
        <v>473</v>
      </c>
      <c r="M156" s="3">
        <v>25</v>
      </c>
    </row>
    <row r="157" spans="1:15" x14ac:dyDescent="0.2">
      <c r="A157" t="s">
        <v>228</v>
      </c>
      <c r="B157" t="s">
        <v>229</v>
      </c>
      <c r="C157" t="s">
        <v>12</v>
      </c>
      <c r="D157" t="s">
        <v>13</v>
      </c>
      <c r="E157" s="9">
        <v>25</v>
      </c>
      <c r="F157" s="9">
        <v>1352299</v>
      </c>
      <c r="G157" s="9" t="s">
        <v>230</v>
      </c>
      <c r="H157" s="9">
        <v>1</v>
      </c>
      <c r="I157" s="9">
        <v>1</v>
      </c>
      <c r="J157" s="9">
        <v>1</v>
      </c>
      <c r="L157" s="5" t="s">
        <v>470</v>
      </c>
      <c r="M157" s="3">
        <f>MIN(E157:E209)</f>
        <v>24</v>
      </c>
      <c r="N157" s="5" t="s">
        <v>471</v>
      </c>
      <c r="O157" s="6">
        <f>((M158-M157)/M157)</f>
        <v>6.25E-2</v>
      </c>
    </row>
    <row r="158" spans="1:15" x14ac:dyDescent="0.2">
      <c r="A158" t="s">
        <v>228</v>
      </c>
      <c r="B158" t="s">
        <v>229</v>
      </c>
      <c r="C158" t="s">
        <v>12</v>
      </c>
      <c r="D158" t="s">
        <v>15</v>
      </c>
      <c r="E158">
        <v>25</v>
      </c>
      <c r="F158">
        <v>1352299</v>
      </c>
      <c r="G158" t="s">
        <v>16</v>
      </c>
      <c r="H158">
        <v>1</v>
      </c>
      <c r="I158">
        <v>1</v>
      </c>
      <c r="J158">
        <v>1</v>
      </c>
      <c r="L158" s="5" t="s">
        <v>472</v>
      </c>
      <c r="M158" s="3">
        <f>MAX(E157:E209)</f>
        <v>25.5</v>
      </c>
      <c r="N158" s="5"/>
    </row>
    <row r="159" spans="1:15" x14ac:dyDescent="0.2">
      <c r="A159" t="s">
        <v>228</v>
      </c>
      <c r="B159" t="s">
        <v>231</v>
      </c>
      <c r="C159" t="s">
        <v>12</v>
      </c>
      <c r="D159" t="s">
        <v>13</v>
      </c>
      <c r="E159">
        <v>25.25</v>
      </c>
      <c r="F159">
        <v>726700</v>
      </c>
      <c r="G159" t="s">
        <v>232</v>
      </c>
      <c r="H159">
        <v>-0.99009900990099009</v>
      </c>
      <c r="I159">
        <v>0</v>
      </c>
      <c r="J159">
        <v>0</v>
      </c>
    </row>
    <row r="160" spans="1:15" x14ac:dyDescent="0.2">
      <c r="A160" t="s">
        <v>228</v>
      </c>
      <c r="B160" t="s">
        <v>231</v>
      </c>
      <c r="C160" t="s">
        <v>12</v>
      </c>
      <c r="D160" t="s">
        <v>15</v>
      </c>
      <c r="E160">
        <v>25.25</v>
      </c>
      <c r="F160">
        <v>726700</v>
      </c>
      <c r="G160" t="s">
        <v>16</v>
      </c>
      <c r="H160">
        <v>-0.99009900990099009</v>
      </c>
      <c r="I160">
        <v>0</v>
      </c>
      <c r="J160">
        <v>0</v>
      </c>
    </row>
    <row r="161" spans="1:10" x14ac:dyDescent="0.2">
      <c r="A161" t="s">
        <v>228</v>
      </c>
      <c r="B161" t="s">
        <v>233</v>
      </c>
      <c r="C161" t="s">
        <v>12</v>
      </c>
      <c r="D161" t="s">
        <v>13</v>
      </c>
      <c r="E161">
        <v>25.25</v>
      </c>
      <c r="F161">
        <v>481704</v>
      </c>
      <c r="G161" t="s">
        <v>234</v>
      </c>
      <c r="H161">
        <v>0</v>
      </c>
      <c r="I161">
        <v>0</v>
      </c>
      <c r="J161">
        <v>-0.99009900990099009</v>
      </c>
    </row>
    <row r="162" spans="1:10" x14ac:dyDescent="0.2">
      <c r="A162" t="s">
        <v>228</v>
      </c>
      <c r="B162" t="s">
        <v>235</v>
      </c>
      <c r="C162" t="s">
        <v>12</v>
      </c>
      <c r="D162" t="s">
        <v>13</v>
      </c>
      <c r="E162">
        <v>25</v>
      </c>
      <c r="F162">
        <v>550100</v>
      </c>
      <c r="G162" t="s">
        <v>236</v>
      </c>
      <c r="H162">
        <v>0</v>
      </c>
      <c r="I162">
        <v>0</v>
      </c>
      <c r="J162">
        <v>-0.40000152587890619</v>
      </c>
    </row>
    <row r="163" spans="1:10" x14ac:dyDescent="0.2">
      <c r="A163" t="s">
        <v>228</v>
      </c>
      <c r="B163" t="s">
        <v>237</v>
      </c>
      <c r="C163" t="s">
        <v>12</v>
      </c>
      <c r="D163" t="s">
        <v>13</v>
      </c>
      <c r="E163" s="9">
        <v>25</v>
      </c>
      <c r="F163">
        <v>1013936</v>
      </c>
      <c r="G163" t="s">
        <v>238</v>
      </c>
      <c r="H163">
        <v>0</v>
      </c>
      <c r="I163">
        <v>-0.40000152587890619</v>
      </c>
      <c r="J163" s="9">
        <v>3</v>
      </c>
    </row>
    <row r="164" spans="1:10" x14ac:dyDescent="0.2">
      <c r="A164" t="s">
        <v>228</v>
      </c>
      <c r="B164" t="s">
        <v>239</v>
      </c>
      <c r="C164" t="s">
        <v>12</v>
      </c>
      <c r="D164" t="s">
        <v>13</v>
      </c>
      <c r="E164">
        <v>25</v>
      </c>
      <c r="F164">
        <v>1899405</v>
      </c>
      <c r="G164" t="s">
        <v>240</v>
      </c>
      <c r="H164">
        <v>0</v>
      </c>
      <c r="I164">
        <v>-0.40000152587890619</v>
      </c>
      <c r="J164">
        <v>3</v>
      </c>
    </row>
    <row r="165" spans="1:10" x14ac:dyDescent="0.2">
      <c r="A165" t="s">
        <v>228</v>
      </c>
      <c r="B165" t="s">
        <v>239</v>
      </c>
      <c r="C165" t="s">
        <v>12</v>
      </c>
      <c r="D165" t="s">
        <v>15</v>
      </c>
      <c r="E165">
        <v>25</v>
      </c>
      <c r="F165">
        <v>1899405</v>
      </c>
      <c r="G165" t="s">
        <v>16</v>
      </c>
      <c r="H165">
        <v>0</v>
      </c>
      <c r="I165">
        <v>-0.40000152587890619</v>
      </c>
      <c r="J165">
        <v>3</v>
      </c>
    </row>
    <row r="166" spans="1:10" x14ac:dyDescent="0.2">
      <c r="A166" t="s">
        <v>228</v>
      </c>
      <c r="B166" t="s">
        <v>241</v>
      </c>
      <c r="C166" t="s">
        <v>12</v>
      </c>
      <c r="D166" t="s">
        <v>13</v>
      </c>
      <c r="E166" s="9">
        <v>24.89999961853027</v>
      </c>
      <c r="F166">
        <v>1186900</v>
      </c>
      <c r="G166" t="s">
        <v>242</v>
      </c>
      <c r="H166">
        <v>0</v>
      </c>
      <c r="I166">
        <v>2.4096401231396549</v>
      </c>
      <c r="J166">
        <v>2.4096401231396549</v>
      </c>
    </row>
    <row r="167" spans="1:10" x14ac:dyDescent="0.2">
      <c r="A167" t="s">
        <v>228</v>
      </c>
      <c r="B167" t="s">
        <v>241</v>
      </c>
      <c r="C167" t="s">
        <v>12</v>
      </c>
      <c r="D167" t="s">
        <v>25</v>
      </c>
      <c r="E167">
        <v>24.89999961853027</v>
      </c>
      <c r="F167">
        <v>1186900</v>
      </c>
      <c r="G167" t="s">
        <v>243</v>
      </c>
      <c r="H167">
        <v>0</v>
      </c>
      <c r="I167">
        <v>2.4096401231396549</v>
      </c>
      <c r="J167">
        <v>2.4096401231396549</v>
      </c>
    </row>
    <row r="168" spans="1:10" x14ac:dyDescent="0.2">
      <c r="A168" t="s">
        <v>228</v>
      </c>
      <c r="B168" t="s">
        <v>244</v>
      </c>
      <c r="C168" t="s">
        <v>12</v>
      </c>
      <c r="D168" t="s">
        <v>13</v>
      </c>
      <c r="E168" s="9">
        <v>24.89999961853027</v>
      </c>
      <c r="F168">
        <v>1021503</v>
      </c>
      <c r="G168" t="s">
        <v>245</v>
      </c>
      <c r="H168">
        <v>0</v>
      </c>
      <c r="I168">
        <v>3.4136562027782791</v>
      </c>
      <c r="J168">
        <v>3.4136562027782791</v>
      </c>
    </row>
    <row r="169" spans="1:10" x14ac:dyDescent="0.2">
      <c r="A169" s="2" t="s">
        <v>228</v>
      </c>
      <c r="B169" s="2" t="s">
        <v>244</v>
      </c>
      <c r="C169" s="2" t="s">
        <v>12</v>
      </c>
      <c r="D169" s="2" t="s">
        <v>15</v>
      </c>
      <c r="E169" s="2">
        <v>24.89999961853027</v>
      </c>
      <c r="F169" s="2">
        <v>1021503</v>
      </c>
      <c r="G169" s="2" t="s">
        <v>16</v>
      </c>
      <c r="H169" s="2">
        <v>0</v>
      </c>
      <c r="I169" s="2">
        <v>3.4136562027782791</v>
      </c>
      <c r="J169" s="2">
        <v>3.4136562027782791</v>
      </c>
    </row>
    <row r="170" spans="1:10" x14ac:dyDescent="0.2">
      <c r="A170" t="s">
        <v>246</v>
      </c>
      <c r="B170" t="s">
        <v>247</v>
      </c>
      <c r="C170" t="s">
        <v>12</v>
      </c>
      <c r="D170" t="s">
        <v>25</v>
      </c>
      <c r="E170">
        <v>25.5</v>
      </c>
      <c r="F170">
        <v>1308800</v>
      </c>
      <c r="G170" t="s">
        <v>248</v>
      </c>
      <c r="H170">
        <v>0</v>
      </c>
      <c r="I170">
        <v>0</v>
      </c>
      <c r="J170">
        <v>0</v>
      </c>
    </row>
    <row r="171" spans="1:10" x14ac:dyDescent="0.2">
      <c r="A171" t="s">
        <v>246</v>
      </c>
      <c r="B171" t="s">
        <v>249</v>
      </c>
      <c r="C171" t="s">
        <v>12</v>
      </c>
      <c r="D171" t="s">
        <v>25</v>
      </c>
      <c r="E171">
        <v>25.5</v>
      </c>
      <c r="F171">
        <v>699758</v>
      </c>
      <c r="G171" t="s">
        <v>250</v>
      </c>
      <c r="H171">
        <v>-0.98039215686274506</v>
      </c>
      <c r="I171">
        <v>0</v>
      </c>
      <c r="J171">
        <v>0</v>
      </c>
    </row>
    <row r="172" spans="1:10" x14ac:dyDescent="0.2">
      <c r="A172" t="s">
        <v>246</v>
      </c>
      <c r="B172" t="s">
        <v>251</v>
      </c>
      <c r="C172" t="s">
        <v>12</v>
      </c>
      <c r="D172" t="s">
        <v>13</v>
      </c>
      <c r="E172">
        <v>25.25</v>
      </c>
      <c r="F172">
        <v>707734</v>
      </c>
      <c r="G172" t="s">
        <v>252</v>
      </c>
      <c r="H172">
        <v>0</v>
      </c>
      <c r="I172">
        <v>0</v>
      </c>
      <c r="J172">
        <v>-0.99009900990099009</v>
      </c>
    </row>
    <row r="173" spans="1:10" x14ac:dyDescent="0.2">
      <c r="A173" t="s">
        <v>246</v>
      </c>
      <c r="B173" t="s">
        <v>251</v>
      </c>
      <c r="C173" t="s">
        <v>12</v>
      </c>
      <c r="D173" t="s">
        <v>15</v>
      </c>
      <c r="E173">
        <v>25.25</v>
      </c>
      <c r="F173">
        <v>707734</v>
      </c>
      <c r="G173" t="s">
        <v>16</v>
      </c>
      <c r="H173">
        <v>0</v>
      </c>
      <c r="I173">
        <v>0</v>
      </c>
      <c r="J173">
        <v>-0.99009900990099009</v>
      </c>
    </row>
    <row r="174" spans="1:10" x14ac:dyDescent="0.2">
      <c r="A174" t="s">
        <v>246</v>
      </c>
      <c r="B174" t="s">
        <v>253</v>
      </c>
      <c r="C174" t="s">
        <v>12</v>
      </c>
      <c r="D174" t="s">
        <v>25</v>
      </c>
      <c r="E174">
        <v>25.25</v>
      </c>
      <c r="F174">
        <v>243330</v>
      </c>
      <c r="G174" t="s">
        <v>76</v>
      </c>
      <c r="H174">
        <v>-0.99009900990099009</v>
      </c>
      <c r="I174">
        <v>0</v>
      </c>
      <c r="J174">
        <v>0.99009900990099009</v>
      </c>
    </row>
    <row r="175" spans="1:10" x14ac:dyDescent="0.2">
      <c r="A175" t="s">
        <v>246</v>
      </c>
      <c r="B175" t="s">
        <v>254</v>
      </c>
      <c r="C175" t="s">
        <v>12</v>
      </c>
      <c r="D175" t="s">
        <v>13</v>
      </c>
      <c r="E175">
        <v>25.25</v>
      </c>
      <c r="F175">
        <v>540803</v>
      </c>
      <c r="G175" t="s">
        <v>255</v>
      </c>
      <c r="H175">
        <v>0</v>
      </c>
      <c r="I175">
        <v>0</v>
      </c>
      <c r="J175">
        <v>0</v>
      </c>
    </row>
    <row r="176" spans="1:10" x14ac:dyDescent="0.2">
      <c r="A176" t="s">
        <v>246</v>
      </c>
      <c r="B176" t="s">
        <v>256</v>
      </c>
      <c r="C176" t="s">
        <v>12</v>
      </c>
      <c r="D176" t="s">
        <v>13</v>
      </c>
      <c r="E176">
        <v>25.25</v>
      </c>
      <c r="F176">
        <v>502667</v>
      </c>
      <c r="G176" t="s">
        <v>257</v>
      </c>
      <c r="H176">
        <v>0</v>
      </c>
      <c r="I176">
        <v>0.99009900990099009</v>
      </c>
      <c r="J176">
        <v>0.99009900990099009</v>
      </c>
    </row>
    <row r="177" spans="1:10" x14ac:dyDescent="0.2">
      <c r="A177" t="s">
        <v>246</v>
      </c>
      <c r="B177" t="s">
        <v>256</v>
      </c>
      <c r="C177" t="s">
        <v>12</v>
      </c>
      <c r="D177" t="s">
        <v>15</v>
      </c>
      <c r="E177">
        <v>25.25</v>
      </c>
      <c r="F177">
        <v>502667</v>
      </c>
      <c r="G177" t="s">
        <v>16</v>
      </c>
      <c r="H177">
        <v>0</v>
      </c>
      <c r="I177">
        <v>0.99009900990099009</v>
      </c>
      <c r="J177">
        <v>0.99009900990099009</v>
      </c>
    </row>
    <row r="178" spans="1:10" x14ac:dyDescent="0.2">
      <c r="A178" s="2" t="s">
        <v>246</v>
      </c>
      <c r="B178" s="2" t="s">
        <v>258</v>
      </c>
      <c r="C178" s="2" t="s">
        <v>12</v>
      </c>
      <c r="D178" s="2" t="s">
        <v>13</v>
      </c>
      <c r="E178" s="2">
        <v>25.5</v>
      </c>
      <c r="F178" s="2">
        <v>121625</v>
      </c>
      <c r="G178" s="2" t="s">
        <v>259</v>
      </c>
      <c r="H178" s="11">
        <v>-4.3137269861557908</v>
      </c>
      <c r="I178" s="11">
        <v>-3.1372519100413601</v>
      </c>
      <c r="J178" s="11">
        <v>-4.3137269861557908</v>
      </c>
    </row>
    <row r="179" spans="1:10" x14ac:dyDescent="0.2">
      <c r="A179" t="s">
        <v>260</v>
      </c>
      <c r="B179" t="s">
        <v>261</v>
      </c>
      <c r="C179" t="s">
        <v>12</v>
      </c>
      <c r="D179" t="s">
        <v>25</v>
      </c>
      <c r="E179">
        <v>24.60000038146973</v>
      </c>
      <c r="F179">
        <v>0</v>
      </c>
      <c r="G179" t="s">
        <v>262</v>
      </c>
      <c r="H179">
        <v>0</v>
      </c>
      <c r="I179">
        <v>0</v>
      </c>
      <c r="J179">
        <v>-0.40650560942695418</v>
      </c>
    </row>
    <row r="180" spans="1:10" x14ac:dyDescent="0.2">
      <c r="A180" t="s">
        <v>260</v>
      </c>
      <c r="B180" t="s">
        <v>263</v>
      </c>
      <c r="C180" t="s">
        <v>12</v>
      </c>
      <c r="D180" t="s">
        <v>13</v>
      </c>
      <c r="E180">
        <v>24.39999961853027</v>
      </c>
      <c r="F180">
        <v>2658680</v>
      </c>
      <c r="G180" t="s">
        <v>264</v>
      </c>
      <c r="H180">
        <v>0.40983763538169288</v>
      </c>
      <c r="I180">
        <v>0.81967527076338575</v>
      </c>
      <c r="J180">
        <v>0.81967527076338575</v>
      </c>
    </row>
    <row r="181" spans="1:10" x14ac:dyDescent="0.2">
      <c r="A181" t="s">
        <v>260</v>
      </c>
      <c r="B181" t="s">
        <v>265</v>
      </c>
      <c r="C181" t="s">
        <v>12</v>
      </c>
      <c r="D181" t="s">
        <v>13</v>
      </c>
      <c r="E181">
        <v>24.70000076293945</v>
      </c>
      <c r="F181">
        <v>1493213</v>
      </c>
      <c r="G181" t="s">
        <v>266</v>
      </c>
      <c r="H181">
        <v>-0.40485983150158372</v>
      </c>
      <c r="I181">
        <v>-1.214579494504751</v>
      </c>
      <c r="J181">
        <v>-0.40485983150158372</v>
      </c>
    </row>
    <row r="182" spans="1:10" x14ac:dyDescent="0.2">
      <c r="A182" t="s">
        <v>260</v>
      </c>
      <c r="B182" t="s">
        <v>267</v>
      </c>
      <c r="C182" t="s">
        <v>12</v>
      </c>
      <c r="D182" t="s">
        <v>13</v>
      </c>
      <c r="E182">
        <v>24.5</v>
      </c>
      <c r="F182">
        <v>692010</v>
      </c>
      <c r="G182" t="s">
        <v>268</v>
      </c>
      <c r="H182">
        <v>0</v>
      </c>
      <c r="I182">
        <v>0</v>
      </c>
      <c r="J182">
        <v>0.40816482232541462</v>
      </c>
    </row>
    <row r="183" spans="1:10" x14ac:dyDescent="0.2">
      <c r="A183" t="s">
        <v>260</v>
      </c>
      <c r="B183" t="s">
        <v>267</v>
      </c>
      <c r="C183" t="s">
        <v>12</v>
      </c>
      <c r="D183" t="s">
        <v>15</v>
      </c>
      <c r="E183">
        <v>24.5</v>
      </c>
      <c r="F183">
        <v>692010</v>
      </c>
      <c r="G183" t="s">
        <v>16</v>
      </c>
      <c r="H183">
        <v>0</v>
      </c>
      <c r="I183">
        <v>0</v>
      </c>
      <c r="J183">
        <v>0.40816482232541462</v>
      </c>
    </row>
    <row r="184" spans="1:10" x14ac:dyDescent="0.2">
      <c r="A184" t="s">
        <v>260</v>
      </c>
      <c r="B184" t="s">
        <v>269</v>
      </c>
      <c r="C184" t="s">
        <v>12</v>
      </c>
      <c r="D184" t="s">
        <v>13</v>
      </c>
      <c r="E184">
        <v>24.39999961853027</v>
      </c>
      <c r="F184">
        <v>1092025</v>
      </c>
      <c r="G184" t="s">
        <v>270</v>
      </c>
      <c r="H184">
        <v>0.40983763538169288</v>
      </c>
      <c r="I184">
        <v>0.81967527076338575</v>
      </c>
      <c r="J184">
        <v>0.40983763538169288</v>
      </c>
    </row>
    <row r="185" spans="1:10" x14ac:dyDescent="0.2">
      <c r="A185" t="s">
        <v>260</v>
      </c>
      <c r="B185" t="s">
        <v>271</v>
      </c>
      <c r="C185" t="s">
        <v>12</v>
      </c>
      <c r="D185" t="s">
        <v>25</v>
      </c>
      <c r="E185">
        <v>24.60000038146973</v>
      </c>
      <c r="F185">
        <v>518100</v>
      </c>
      <c r="G185" t="s">
        <v>37</v>
      </c>
      <c r="H185">
        <v>0</v>
      </c>
      <c r="I185">
        <v>-0.40650560942695418</v>
      </c>
      <c r="J185">
        <v>-0.81301121885390837</v>
      </c>
    </row>
    <row r="186" spans="1:10" x14ac:dyDescent="0.2">
      <c r="A186" t="s">
        <v>260</v>
      </c>
      <c r="B186" t="s">
        <v>272</v>
      </c>
      <c r="C186" t="s">
        <v>12</v>
      </c>
      <c r="D186" t="s">
        <v>13</v>
      </c>
      <c r="E186">
        <v>24.5</v>
      </c>
      <c r="F186">
        <v>846217</v>
      </c>
      <c r="G186" t="s">
        <v>273</v>
      </c>
      <c r="H186">
        <v>0</v>
      </c>
      <c r="I186">
        <v>-0.40816482232541462</v>
      </c>
      <c r="J186">
        <v>0.40816482232541462</v>
      </c>
    </row>
    <row r="187" spans="1:10" x14ac:dyDescent="0.2">
      <c r="A187" s="2" t="s">
        <v>260</v>
      </c>
      <c r="B187" s="2" t="s">
        <v>274</v>
      </c>
      <c r="C187" s="2" t="s">
        <v>12</v>
      </c>
      <c r="D187" s="2" t="s">
        <v>13</v>
      </c>
      <c r="E187" s="2">
        <v>24.60000038146973</v>
      </c>
      <c r="F187" s="2">
        <v>2243200</v>
      </c>
      <c r="G187" s="2" t="s">
        <v>275</v>
      </c>
      <c r="H187" s="2">
        <v>0</v>
      </c>
      <c r="I187" s="2">
        <v>0</v>
      </c>
      <c r="J187" s="2">
        <v>0.40650560942695418</v>
      </c>
    </row>
    <row r="188" spans="1:10" x14ac:dyDescent="0.2">
      <c r="A188" t="s">
        <v>276</v>
      </c>
      <c r="B188" t="s">
        <v>277</v>
      </c>
      <c r="C188" t="s">
        <v>12</v>
      </c>
      <c r="D188" t="s">
        <v>25</v>
      </c>
      <c r="E188">
        <v>24.60000038146973</v>
      </c>
      <c r="F188">
        <v>0</v>
      </c>
      <c r="G188" t="s">
        <v>278</v>
      </c>
      <c r="H188">
        <v>0</v>
      </c>
      <c r="I188">
        <v>0</v>
      </c>
      <c r="J188">
        <v>-0.81301121885390837</v>
      </c>
    </row>
    <row r="189" spans="1:10" x14ac:dyDescent="0.2">
      <c r="A189" t="s">
        <v>276</v>
      </c>
      <c r="B189" t="s">
        <v>279</v>
      </c>
      <c r="C189" t="s">
        <v>12</v>
      </c>
      <c r="D189" t="s">
        <v>13</v>
      </c>
      <c r="E189">
        <v>24.70000076293945</v>
      </c>
      <c r="F189">
        <v>2450102</v>
      </c>
      <c r="G189" t="s">
        <v>280</v>
      </c>
      <c r="H189">
        <v>-0.40485983150158372</v>
      </c>
      <c r="I189">
        <v>-0.40485983150158372</v>
      </c>
      <c r="J189">
        <v>-0.80971966300316733</v>
      </c>
    </row>
    <row r="190" spans="1:10" x14ac:dyDescent="0.2">
      <c r="A190" t="s">
        <v>276</v>
      </c>
      <c r="B190" t="s">
        <v>279</v>
      </c>
      <c r="C190" t="s">
        <v>12</v>
      </c>
      <c r="D190" t="s">
        <v>25</v>
      </c>
      <c r="E190">
        <v>24.70000076293945</v>
      </c>
      <c r="F190">
        <v>2450102</v>
      </c>
      <c r="G190" t="s">
        <v>30</v>
      </c>
      <c r="H190">
        <v>-0.40485983150158372</v>
      </c>
      <c r="I190">
        <v>-0.40485983150158372</v>
      </c>
      <c r="J190">
        <v>-0.80971966300316733</v>
      </c>
    </row>
    <row r="191" spans="1:10" x14ac:dyDescent="0.2">
      <c r="A191" t="s">
        <v>276</v>
      </c>
      <c r="B191" t="s">
        <v>281</v>
      </c>
      <c r="C191" t="s">
        <v>12</v>
      </c>
      <c r="D191" t="s">
        <v>13</v>
      </c>
      <c r="E191">
        <v>24.20000076293945</v>
      </c>
      <c r="F191">
        <v>1601827</v>
      </c>
      <c r="G191" t="s">
        <v>282</v>
      </c>
      <c r="H191">
        <v>0</v>
      </c>
      <c r="I191">
        <v>0</v>
      </c>
      <c r="J191">
        <v>0.41321682218388261</v>
      </c>
    </row>
    <row r="192" spans="1:10" x14ac:dyDescent="0.2">
      <c r="A192" t="s">
        <v>276</v>
      </c>
      <c r="B192" t="s">
        <v>281</v>
      </c>
      <c r="C192" t="s">
        <v>12</v>
      </c>
      <c r="D192" t="s">
        <v>15</v>
      </c>
      <c r="E192">
        <v>24.20000076293945</v>
      </c>
      <c r="F192">
        <v>1601827</v>
      </c>
      <c r="G192" t="s">
        <v>16</v>
      </c>
      <c r="H192">
        <v>0</v>
      </c>
      <c r="I192">
        <v>0</v>
      </c>
      <c r="J192">
        <v>0.41321682218388261</v>
      </c>
    </row>
    <row r="193" spans="1:10" x14ac:dyDescent="0.2">
      <c r="A193" t="s">
        <v>276</v>
      </c>
      <c r="B193" t="s">
        <v>283</v>
      </c>
      <c r="C193" t="s">
        <v>12</v>
      </c>
      <c r="D193" t="s">
        <v>13</v>
      </c>
      <c r="E193">
        <v>24.10000038146973</v>
      </c>
      <c r="F193">
        <v>1465967</v>
      </c>
      <c r="G193" t="s">
        <v>284</v>
      </c>
      <c r="H193">
        <v>0.41493933563011881</v>
      </c>
      <c r="I193">
        <v>0.41493933563011881</v>
      </c>
      <c r="J193">
        <v>0.82987075695068291</v>
      </c>
    </row>
    <row r="194" spans="1:10" x14ac:dyDescent="0.2">
      <c r="A194" s="2" t="s">
        <v>276</v>
      </c>
      <c r="B194" s="2" t="s">
        <v>285</v>
      </c>
      <c r="C194" s="2" t="s">
        <v>12</v>
      </c>
      <c r="D194" s="2" t="s">
        <v>13</v>
      </c>
      <c r="E194" s="2">
        <v>24.39999961853027</v>
      </c>
      <c r="F194" s="2">
        <v>1401302</v>
      </c>
      <c r="G194" s="2" t="s">
        <v>286</v>
      </c>
      <c r="H194" s="2">
        <v>0</v>
      </c>
      <c r="I194" s="2">
        <v>-0.81966745376067018</v>
      </c>
      <c r="J194" s="2">
        <v>-1.2295050891423629</v>
      </c>
    </row>
    <row r="195" spans="1:10" x14ac:dyDescent="0.2">
      <c r="A195" t="s">
        <v>287</v>
      </c>
      <c r="B195" t="s">
        <v>288</v>
      </c>
      <c r="C195" t="s">
        <v>12</v>
      </c>
      <c r="D195" t="s">
        <v>25</v>
      </c>
      <c r="E195">
        <v>24.20000076293945</v>
      </c>
      <c r="F195">
        <v>0</v>
      </c>
      <c r="G195" t="s">
        <v>30</v>
      </c>
      <c r="H195">
        <v>0.41321682218388261</v>
      </c>
      <c r="I195">
        <v>-0.41322470378955478</v>
      </c>
      <c r="J195">
        <v>-0.41322470378955478</v>
      </c>
    </row>
    <row r="196" spans="1:10" x14ac:dyDescent="0.2">
      <c r="A196" t="s">
        <v>287</v>
      </c>
      <c r="B196" t="s">
        <v>289</v>
      </c>
      <c r="C196" t="s">
        <v>12</v>
      </c>
      <c r="D196" t="s">
        <v>13</v>
      </c>
      <c r="E196">
        <v>24.29999923706055</v>
      </c>
      <c r="F196">
        <v>1138913</v>
      </c>
      <c r="G196" t="s">
        <v>290</v>
      </c>
      <c r="H196">
        <v>-0.8230405838276611</v>
      </c>
      <c r="I196">
        <v>-0.8230405838276611</v>
      </c>
      <c r="J196">
        <v>-0.8230405838276611</v>
      </c>
    </row>
    <row r="197" spans="1:10" x14ac:dyDescent="0.2">
      <c r="A197" t="s">
        <v>287</v>
      </c>
      <c r="B197" t="s">
        <v>289</v>
      </c>
      <c r="C197" t="s">
        <v>12</v>
      </c>
      <c r="D197" t="s">
        <v>25</v>
      </c>
      <c r="E197">
        <v>24.29999923706055</v>
      </c>
      <c r="F197">
        <v>1138913</v>
      </c>
      <c r="G197" t="s">
        <v>291</v>
      </c>
      <c r="H197">
        <v>-0.8230405838276611</v>
      </c>
      <c r="I197">
        <v>-0.8230405838276611</v>
      </c>
      <c r="J197">
        <v>-0.8230405838276611</v>
      </c>
    </row>
    <row r="198" spans="1:10" x14ac:dyDescent="0.2">
      <c r="A198" t="s">
        <v>287</v>
      </c>
      <c r="B198" t="s">
        <v>292</v>
      </c>
      <c r="C198" t="s">
        <v>12</v>
      </c>
      <c r="D198" t="s">
        <v>13</v>
      </c>
      <c r="E198" s="3">
        <v>24</v>
      </c>
      <c r="F198">
        <v>1700603</v>
      </c>
      <c r="G198" t="s">
        <v>293</v>
      </c>
      <c r="H198">
        <v>0.41666825612386071</v>
      </c>
      <c r="I198">
        <v>0.41666825612386071</v>
      </c>
      <c r="J198">
        <v>0.41666825612386071</v>
      </c>
    </row>
    <row r="199" spans="1:10" x14ac:dyDescent="0.2">
      <c r="A199" t="s">
        <v>287</v>
      </c>
      <c r="B199" t="s">
        <v>292</v>
      </c>
      <c r="C199" t="s">
        <v>12</v>
      </c>
      <c r="D199" t="s">
        <v>25</v>
      </c>
      <c r="E199" s="3">
        <v>24</v>
      </c>
      <c r="F199">
        <v>1700603</v>
      </c>
      <c r="G199" t="s">
        <v>294</v>
      </c>
      <c r="H199">
        <v>0.41666825612386071</v>
      </c>
      <c r="I199">
        <v>0.41666825612386071</v>
      </c>
      <c r="J199">
        <v>0.41666825612386071</v>
      </c>
    </row>
    <row r="200" spans="1:10" x14ac:dyDescent="0.2">
      <c r="A200" t="s">
        <v>287</v>
      </c>
      <c r="B200" t="s">
        <v>295</v>
      </c>
      <c r="C200" t="s">
        <v>12</v>
      </c>
      <c r="D200" t="s">
        <v>13</v>
      </c>
      <c r="E200">
        <v>24.10000038146973</v>
      </c>
      <c r="F200">
        <v>1055701</v>
      </c>
      <c r="G200" t="s">
        <v>296</v>
      </c>
      <c r="H200">
        <v>0</v>
      </c>
      <c r="I200">
        <v>0</v>
      </c>
      <c r="J200">
        <v>0</v>
      </c>
    </row>
    <row r="201" spans="1:10" x14ac:dyDescent="0.2">
      <c r="A201" t="s">
        <v>287</v>
      </c>
      <c r="B201" t="s">
        <v>297</v>
      </c>
      <c r="C201" t="s">
        <v>12</v>
      </c>
      <c r="D201" t="s">
        <v>13</v>
      </c>
      <c r="E201">
        <v>24.10000038146973</v>
      </c>
      <c r="F201">
        <v>1372003</v>
      </c>
      <c r="G201" t="s">
        <v>298</v>
      </c>
      <c r="H201">
        <v>0</v>
      </c>
      <c r="I201">
        <v>-0.41493933563011881</v>
      </c>
      <c r="J201">
        <v>0</v>
      </c>
    </row>
    <row r="202" spans="1:10" x14ac:dyDescent="0.2">
      <c r="A202" t="s">
        <v>287</v>
      </c>
      <c r="B202" t="s">
        <v>297</v>
      </c>
      <c r="C202" t="s">
        <v>12</v>
      </c>
      <c r="D202" t="s">
        <v>15</v>
      </c>
      <c r="E202">
        <v>24.10000038146973</v>
      </c>
      <c r="F202">
        <v>1372003</v>
      </c>
      <c r="G202" t="s">
        <v>16</v>
      </c>
      <c r="H202">
        <v>0</v>
      </c>
      <c r="I202">
        <v>-0.41493933563011881</v>
      </c>
      <c r="J202">
        <v>0</v>
      </c>
    </row>
    <row r="203" spans="1:10" x14ac:dyDescent="0.2">
      <c r="A203" t="s">
        <v>287</v>
      </c>
      <c r="B203" t="s">
        <v>299</v>
      </c>
      <c r="C203" t="s">
        <v>12</v>
      </c>
      <c r="D203" t="s">
        <v>13</v>
      </c>
      <c r="E203" s="3">
        <v>24</v>
      </c>
      <c r="F203">
        <v>2185879</v>
      </c>
      <c r="G203" t="s">
        <v>300</v>
      </c>
      <c r="H203">
        <v>0.83333651224772132</v>
      </c>
      <c r="I203">
        <v>0.41666825612386071</v>
      </c>
      <c r="J203">
        <v>0</v>
      </c>
    </row>
    <row r="204" spans="1:10" x14ac:dyDescent="0.2">
      <c r="A204" t="s">
        <v>287</v>
      </c>
      <c r="B204" t="s">
        <v>299</v>
      </c>
      <c r="C204" t="s">
        <v>12</v>
      </c>
      <c r="D204" t="s">
        <v>15</v>
      </c>
      <c r="E204" s="3">
        <v>24</v>
      </c>
      <c r="F204">
        <v>2185879</v>
      </c>
      <c r="G204" t="s">
        <v>16</v>
      </c>
      <c r="H204">
        <v>0.83333651224772132</v>
      </c>
      <c r="I204">
        <v>0.41666825612386071</v>
      </c>
      <c r="J204">
        <v>0</v>
      </c>
    </row>
    <row r="205" spans="1:10" x14ac:dyDescent="0.2">
      <c r="A205" t="s">
        <v>287</v>
      </c>
      <c r="B205" t="s">
        <v>301</v>
      </c>
      <c r="C205" t="s">
        <v>12</v>
      </c>
      <c r="D205" t="s">
        <v>13</v>
      </c>
      <c r="E205" s="3">
        <v>24</v>
      </c>
      <c r="F205">
        <v>1562500</v>
      </c>
      <c r="G205" t="s">
        <v>302</v>
      </c>
      <c r="H205">
        <v>0</v>
      </c>
      <c r="I205">
        <v>0.41666825612386071</v>
      </c>
      <c r="J205">
        <v>0</v>
      </c>
    </row>
    <row r="206" spans="1:10" x14ac:dyDescent="0.2">
      <c r="A206" t="s">
        <v>287</v>
      </c>
      <c r="B206" t="s">
        <v>301</v>
      </c>
      <c r="C206" t="s">
        <v>12</v>
      </c>
      <c r="D206" t="s">
        <v>15</v>
      </c>
      <c r="E206" s="3">
        <v>24</v>
      </c>
      <c r="F206">
        <v>1562500</v>
      </c>
      <c r="G206" t="s">
        <v>16</v>
      </c>
      <c r="H206">
        <v>0</v>
      </c>
      <c r="I206">
        <v>0.41666825612386071</v>
      </c>
      <c r="J206">
        <v>0</v>
      </c>
    </row>
    <row r="207" spans="1:10" x14ac:dyDescent="0.2">
      <c r="A207" s="2" t="s">
        <v>287</v>
      </c>
      <c r="B207" s="2" t="s">
        <v>303</v>
      </c>
      <c r="C207" s="2" t="s">
        <v>12</v>
      </c>
      <c r="D207" s="2" t="s">
        <v>13</v>
      </c>
      <c r="E207" s="2">
        <v>24.10000038146973</v>
      </c>
      <c r="F207" s="2">
        <v>1553206</v>
      </c>
      <c r="G207" s="2" t="s">
        <v>304</v>
      </c>
      <c r="H207" s="2">
        <v>-0.41493933563011881</v>
      </c>
      <c r="I207" s="2">
        <v>-0.41493933563011881</v>
      </c>
      <c r="J207" s="2">
        <v>-0.41493933563011881</v>
      </c>
    </row>
    <row r="208" spans="1:10" x14ac:dyDescent="0.2">
      <c r="A208" t="s">
        <v>305</v>
      </c>
      <c r="B208" t="s">
        <v>306</v>
      </c>
      <c r="C208" t="s">
        <v>12</v>
      </c>
      <c r="D208" t="s">
        <v>13</v>
      </c>
      <c r="E208">
        <v>24</v>
      </c>
      <c r="F208">
        <v>661653</v>
      </c>
      <c r="G208" t="s">
        <v>307</v>
      </c>
      <c r="H208">
        <v>-0.41666825612386071</v>
      </c>
      <c r="I208">
        <v>0</v>
      </c>
      <c r="J208">
        <v>0.41666825612386071</v>
      </c>
    </row>
    <row r="209" spans="1:15" x14ac:dyDescent="0.2">
      <c r="A209" t="s">
        <v>305</v>
      </c>
      <c r="B209" t="s">
        <v>306</v>
      </c>
      <c r="C209" t="s">
        <v>12</v>
      </c>
      <c r="D209" t="s">
        <v>15</v>
      </c>
      <c r="E209">
        <v>24</v>
      </c>
      <c r="F209">
        <v>661653</v>
      </c>
      <c r="G209" t="s">
        <v>16</v>
      </c>
      <c r="H209">
        <v>-0.41666825612386071</v>
      </c>
      <c r="I209">
        <v>0</v>
      </c>
      <c r="J209">
        <v>0.41666825612386071</v>
      </c>
    </row>
    <row r="210" spans="1:15" x14ac:dyDescent="0.2">
      <c r="A210" t="s">
        <v>305</v>
      </c>
      <c r="B210" t="s">
        <v>308</v>
      </c>
      <c r="C210" t="s">
        <v>12</v>
      </c>
      <c r="D210" t="s">
        <v>13</v>
      </c>
      <c r="E210" s="9">
        <v>23.79999923706055</v>
      </c>
      <c r="F210" s="9">
        <v>774262</v>
      </c>
      <c r="G210" s="9" t="s">
        <v>309</v>
      </c>
      <c r="H210" s="9">
        <v>0.84033936701988954</v>
      </c>
      <c r="I210" s="9">
        <v>1.260509050529834</v>
      </c>
      <c r="J210" s="9">
        <v>1.260509050529834</v>
      </c>
      <c r="L210" s="5" t="s">
        <v>470</v>
      </c>
      <c r="M210" s="3">
        <f>MIN(E210:E243)</f>
        <v>23.79999923706055</v>
      </c>
      <c r="N210" s="5" t="s">
        <v>471</v>
      </c>
      <c r="O210" s="6">
        <f>((M211-M210)/M210)</f>
        <v>8.1932807791984072E-2</v>
      </c>
    </row>
    <row r="211" spans="1:15" x14ac:dyDescent="0.2">
      <c r="A211" t="s">
        <v>305</v>
      </c>
      <c r="B211" t="s">
        <v>310</v>
      </c>
      <c r="C211" t="s">
        <v>12</v>
      </c>
      <c r="D211" t="s">
        <v>13</v>
      </c>
      <c r="E211">
        <v>24.10000038146973</v>
      </c>
      <c r="F211">
        <v>824816</v>
      </c>
      <c r="G211" t="s">
        <v>311</v>
      </c>
      <c r="H211">
        <v>0</v>
      </c>
      <c r="I211">
        <v>0</v>
      </c>
      <c r="J211">
        <v>0.41493933563011881</v>
      </c>
      <c r="L211" s="5" t="s">
        <v>472</v>
      </c>
      <c r="M211" s="4">
        <f>MAX(E210:E243)</f>
        <v>25.75</v>
      </c>
      <c r="N211" s="5"/>
    </row>
    <row r="212" spans="1:15" x14ac:dyDescent="0.2">
      <c r="A212" t="s">
        <v>305</v>
      </c>
      <c r="B212" t="s">
        <v>310</v>
      </c>
      <c r="C212" t="s">
        <v>12</v>
      </c>
      <c r="D212" t="s">
        <v>15</v>
      </c>
      <c r="E212" s="9">
        <v>24.10000038146973</v>
      </c>
      <c r="F212">
        <v>824816</v>
      </c>
      <c r="G212" t="s">
        <v>16</v>
      </c>
      <c r="H212">
        <v>0</v>
      </c>
      <c r="I212">
        <v>0</v>
      </c>
      <c r="J212">
        <v>0.41493933563011881</v>
      </c>
    </row>
    <row r="213" spans="1:15" x14ac:dyDescent="0.2">
      <c r="A213" t="s">
        <v>305</v>
      </c>
      <c r="B213" t="s">
        <v>312</v>
      </c>
      <c r="C213" t="s">
        <v>12</v>
      </c>
      <c r="D213" t="s">
        <v>13</v>
      </c>
      <c r="E213">
        <v>24.20000076293945</v>
      </c>
      <c r="F213">
        <v>630300</v>
      </c>
      <c r="G213" t="s">
        <v>313</v>
      </c>
      <c r="H213">
        <v>0</v>
      </c>
      <c r="I213">
        <v>0</v>
      </c>
      <c r="J213">
        <v>0.82644152597343734</v>
      </c>
    </row>
    <row r="214" spans="1:15" x14ac:dyDescent="0.2">
      <c r="A214" t="s">
        <v>305</v>
      </c>
      <c r="B214" t="s">
        <v>314</v>
      </c>
      <c r="C214" t="s">
        <v>12</v>
      </c>
      <c r="D214" t="s">
        <v>13</v>
      </c>
      <c r="E214" s="9">
        <v>24.20000076293945</v>
      </c>
      <c r="F214">
        <v>937000</v>
      </c>
      <c r="G214" t="s">
        <v>315</v>
      </c>
      <c r="H214">
        <v>0.82644152597343734</v>
      </c>
      <c r="I214">
        <v>0.82644152597343734</v>
      </c>
      <c r="J214">
        <v>2.0661156373421021</v>
      </c>
    </row>
    <row r="215" spans="1:15" x14ac:dyDescent="0.2">
      <c r="A215" t="s">
        <v>305</v>
      </c>
      <c r="B215" t="s">
        <v>314</v>
      </c>
      <c r="C215" t="s">
        <v>12</v>
      </c>
      <c r="D215" t="s">
        <v>15</v>
      </c>
      <c r="E215">
        <v>24.20000076293945</v>
      </c>
      <c r="F215">
        <v>937000</v>
      </c>
      <c r="G215" t="s">
        <v>16</v>
      </c>
      <c r="H215">
        <v>0.82644152597343734</v>
      </c>
      <c r="I215">
        <v>0.82644152597343734</v>
      </c>
      <c r="J215">
        <v>2.0661156373421021</v>
      </c>
    </row>
    <row r="216" spans="1:15" x14ac:dyDescent="0.2">
      <c r="A216" s="2" t="s">
        <v>305</v>
      </c>
      <c r="B216" s="2" t="s">
        <v>316</v>
      </c>
      <c r="C216" s="2" t="s">
        <v>12</v>
      </c>
      <c r="D216" s="2" t="s">
        <v>13</v>
      </c>
      <c r="E216" s="11">
        <v>24.39999961853027</v>
      </c>
      <c r="F216" s="2">
        <v>1344722</v>
      </c>
      <c r="G216" s="2" t="s">
        <v>317</v>
      </c>
      <c r="H216" s="2">
        <v>0</v>
      </c>
      <c r="I216" s="2">
        <v>0</v>
      </c>
      <c r="J216" s="2">
        <v>2.049180359905749</v>
      </c>
    </row>
    <row r="217" spans="1:15" x14ac:dyDescent="0.2">
      <c r="A217" t="s">
        <v>318</v>
      </c>
      <c r="B217" t="s">
        <v>319</v>
      </c>
      <c r="C217" t="s">
        <v>12</v>
      </c>
      <c r="D217" t="s">
        <v>25</v>
      </c>
      <c r="E217" s="9">
        <v>24.70000076293945</v>
      </c>
      <c r="F217">
        <v>0</v>
      </c>
      <c r="G217" t="s">
        <v>320</v>
      </c>
      <c r="H217">
        <v>0.80971194094416388</v>
      </c>
      <c r="I217">
        <v>2.2267174901702051</v>
      </c>
      <c r="J217">
        <v>1.214571772445747</v>
      </c>
    </row>
    <row r="218" spans="1:15" x14ac:dyDescent="0.2">
      <c r="A218" t="s">
        <v>318</v>
      </c>
      <c r="B218" t="s">
        <v>321</v>
      </c>
      <c r="C218" t="s">
        <v>12</v>
      </c>
      <c r="D218" t="s">
        <v>13</v>
      </c>
      <c r="E218">
        <v>24.89999961853027</v>
      </c>
      <c r="F218">
        <v>1313381</v>
      </c>
      <c r="G218" t="s">
        <v>322</v>
      </c>
      <c r="H218">
        <v>0.4016079638624071</v>
      </c>
      <c r="I218">
        <v>0.4016079638624071</v>
      </c>
      <c r="J218">
        <v>0.4016079638624071</v>
      </c>
    </row>
    <row r="219" spans="1:15" x14ac:dyDescent="0.2">
      <c r="A219" t="s">
        <v>318</v>
      </c>
      <c r="B219" t="s">
        <v>321</v>
      </c>
      <c r="C219" t="s">
        <v>12</v>
      </c>
      <c r="D219" t="s">
        <v>25</v>
      </c>
      <c r="E219">
        <v>24.89999961853027</v>
      </c>
      <c r="F219">
        <v>1313381</v>
      </c>
      <c r="G219" t="s">
        <v>40</v>
      </c>
      <c r="H219">
        <v>0.4016079638624071</v>
      </c>
      <c r="I219">
        <v>0.4016079638624071</v>
      </c>
      <c r="J219">
        <v>0.4016079638624071</v>
      </c>
    </row>
    <row r="220" spans="1:15" x14ac:dyDescent="0.2">
      <c r="A220" t="s">
        <v>318</v>
      </c>
      <c r="B220" t="s">
        <v>323</v>
      </c>
      <c r="C220" t="s">
        <v>12</v>
      </c>
      <c r="D220" t="s">
        <v>13</v>
      </c>
      <c r="E220" s="9">
        <v>24.89999961853027</v>
      </c>
      <c r="F220">
        <v>3751212</v>
      </c>
      <c r="G220" t="s">
        <v>324</v>
      </c>
      <c r="H220">
        <v>1.405624043501031</v>
      </c>
      <c r="I220">
        <v>0</v>
      </c>
      <c r="J220">
        <v>1.405624043501031</v>
      </c>
    </row>
    <row r="221" spans="1:15" x14ac:dyDescent="0.2">
      <c r="A221" t="s">
        <v>318</v>
      </c>
      <c r="B221" t="s">
        <v>323</v>
      </c>
      <c r="C221" t="s">
        <v>12</v>
      </c>
      <c r="D221" t="s">
        <v>25</v>
      </c>
      <c r="E221">
        <v>24.89999961853027</v>
      </c>
      <c r="F221">
        <v>3751212</v>
      </c>
      <c r="G221" t="s">
        <v>325</v>
      </c>
      <c r="H221">
        <v>1.405624043501031</v>
      </c>
      <c r="I221">
        <v>0</v>
      </c>
      <c r="J221">
        <v>1.405624043501031</v>
      </c>
    </row>
    <row r="222" spans="1:15" x14ac:dyDescent="0.2">
      <c r="A222" t="s">
        <v>318</v>
      </c>
      <c r="B222" t="s">
        <v>323</v>
      </c>
      <c r="C222" t="s">
        <v>12</v>
      </c>
      <c r="D222" t="s">
        <v>15</v>
      </c>
      <c r="E222">
        <v>24.89999961853027</v>
      </c>
      <c r="F222">
        <v>3751212</v>
      </c>
      <c r="G222" t="s">
        <v>16</v>
      </c>
      <c r="H222">
        <v>1.405624043501031</v>
      </c>
      <c r="I222">
        <v>0</v>
      </c>
      <c r="J222">
        <v>1.405624043501031</v>
      </c>
    </row>
    <row r="223" spans="1:15" x14ac:dyDescent="0.2">
      <c r="A223" t="s">
        <v>318</v>
      </c>
      <c r="B223" t="s">
        <v>326</v>
      </c>
      <c r="C223" t="s">
        <v>12</v>
      </c>
      <c r="D223" t="s">
        <v>25</v>
      </c>
      <c r="E223" s="9">
        <v>25</v>
      </c>
      <c r="F223">
        <v>1114437</v>
      </c>
      <c r="G223" t="s">
        <v>327</v>
      </c>
      <c r="H223">
        <v>0</v>
      </c>
      <c r="I223" s="17">
        <v>-0.8000030517578125</v>
      </c>
      <c r="J223">
        <v>1</v>
      </c>
    </row>
    <row r="224" spans="1:15" x14ac:dyDescent="0.2">
      <c r="A224" t="s">
        <v>318</v>
      </c>
      <c r="B224" t="s">
        <v>328</v>
      </c>
      <c r="C224" t="s">
        <v>12</v>
      </c>
      <c r="D224" t="s">
        <v>25</v>
      </c>
      <c r="E224" s="17">
        <v>25.25</v>
      </c>
      <c r="F224">
        <v>0</v>
      </c>
      <c r="G224" t="s">
        <v>76</v>
      </c>
      <c r="H224">
        <v>0</v>
      </c>
      <c r="I224">
        <v>0</v>
      </c>
      <c r="J224">
        <v>-0.99009900990099009</v>
      </c>
    </row>
    <row r="225" spans="1:10" x14ac:dyDescent="0.2">
      <c r="A225" t="s">
        <v>318</v>
      </c>
      <c r="B225" t="s">
        <v>329</v>
      </c>
      <c r="C225" t="s">
        <v>12</v>
      </c>
      <c r="D225" t="s">
        <v>13</v>
      </c>
      <c r="E225">
        <v>25.25</v>
      </c>
      <c r="F225">
        <v>17552415</v>
      </c>
      <c r="G225" t="s">
        <v>330</v>
      </c>
      <c r="H225">
        <v>0</v>
      </c>
      <c r="I225">
        <v>-0.99009900990099009</v>
      </c>
      <c r="J225">
        <v>-0.99009900990099009</v>
      </c>
    </row>
    <row r="226" spans="1:10" x14ac:dyDescent="0.2">
      <c r="A226" s="2" t="s">
        <v>318</v>
      </c>
      <c r="B226" s="2" t="s">
        <v>329</v>
      </c>
      <c r="C226" s="2" t="s">
        <v>12</v>
      </c>
      <c r="D226" s="2" t="s">
        <v>15</v>
      </c>
      <c r="E226" s="2">
        <v>25.25</v>
      </c>
      <c r="F226" s="2">
        <v>17552415</v>
      </c>
      <c r="G226" s="2" t="s">
        <v>16</v>
      </c>
      <c r="H226" s="2">
        <v>0</v>
      </c>
      <c r="I226" s="2">
        <v>-0.99009900990099009</v>
      </c>
      <c r="J226" s="2">
        <v>-0.99009900990099009</v>
      </c>
    </row>
    <row r="227" spans="1:10" x14ac:dyDescent="0.2">
      <c r="A227" t="s">
        <v>331</v>
      </c>
      <c r="B227" t="s">
        <v>332</v>
      </c>
      <c r="C227" t="s">
        <v>12</v>
      </c>
      <c r="D227" t="s">
        <v>13</v>
      </c>
      <c r="E227" s="9">
        <v>25.25</v>
      </c>
      <c r="F227">
        <v>1808320</v>
      </c>
      <c r="G227" t="s">
        <v>333</v>
      </c>
      <c r="H227">
        <v>0</v>
      </c>
      <c r="I227">
        <v>0</v>
      </c>
      <c r="J227">
        <v>0.99009900990099009</v>
      </c>
    </row>
    <row r="228" spans="1:10" x14ac:dyDescent="0.2">
      <c r="A228" t="s">
        <v>331</v>
      </c>
      <c r="B228" t="s">
        <v>334</v>
      </c>
      <c r="C228" t="s">
        <v>12</v>
      </c>
      <c r="D228" t="s">
        <v>13</v>
      </c>
      <c r="E228" s="17">
        <v>25.5</v>
      </c>
      <c r="F228">
        <v>2373550</v>
      </c>
      <c r="G228" t="s">
        <v>335</v>
      </c>
      <c r="H228">
        <v>-1.9607843137254899</v>
      </c>
      <c r="I228">
        <v>-0.98039215686274506</v>
      </c>
      <c r="J228">
        <v>0</v>
      </c>
    </row>
    <row r="229" spans="1:10" x14ac:dyDescent="0.2">
      <c r="A229" t="s">
        <v>331</v>
      </c>
      <c r="B229" t="s">
        <v>336</v>
      </c>
      <c r="C229" t="s">
        <v>12</v>
      </c>
      <c r="D229" t="s">
        <v>13</v>
      </c>
      <c r="E229" s="9">
        <v>25.5</v>
      </c>
      <c r="F229">
        <v>1277812</v>
      </c>
      <c r="G229" t="s">
        <v>337</v>
      </c>
      <c r="H229">
        <v>0.98039215686274506</v>
      </c>
      <c r="I229">
        <v>0</v>
      </c>
      <c r="J229">
        <v>0</v>
      </c>
    </row>
    <row r="230" spans="1:10" x14ac:dyDescent="0.2">
      <c r="A230" t="s">
        <v>331</v>
      </c>
      <c r="B230" t="s">
        <v>338</v>
      </c>
      <c r="C230" t="s">
        <v>12</v>
      </c>
      <c r="D230" t="s">
        <v>13</v>
      </c>
      <c r="E230">
        <v>25.75</v>
      </c>
      <c r="F230">
        <v>410312</v>
      </c>
      <c r="G230" t="s">
        <v>339</v>
      </c>
      <c r="H230">
        <v>0</v>
      </c>
      <c r="I230">
        <v>0</v>
      </c>
      <c r="J230">
        <v>-1.941747572815534</v>
      </c>
    </row>
    <row r="231" spans="1:10" x14ac:dyDescent="0.2">
      <c r="A231" t="s">
        <v>331</v>
      </c>
      <c r="B231" t="s">
        <v>338</v>
      </c>
      <c r="C231" t="s">
        <v>12</v>
      </c>
      <c r="D231" t="s">
        <v>15</v>
      </c>
      <c r="E231" s="17">
        <v>25.75</v>
      </c>
      <c r="F231">
        <v>410312</v>
      </c>
      <c r="G231" t="s">
        <v>16</v>
      </c>
      <c r="H231">
        <v>0</v>
      </c>
      <c r="I231">
        <v>0</v>
      </c>
      <c r="J231">
        <v>-1.941747572815534</v>
      </c>
    </row>
    <row r="232" spans="1:10" x14ac:dyDescent="0.2">
      <c r="A232" t="s">
        <v>331</v>
      </c>
      <c r="B232" t="s">
        <v>340</v>
      </c>
      <c r="C232" t="s">
        <v>12</v>
      </c>
      <c r="D232" t="s">
        <v>13</v>
      </c>
      <c r="E232">
        <v>25.75</v>
      </c>
      <c r="F232">
        <v>803800</v>
      </c>
      <c r="G232" t="s">
        <v>341</v>
      </c>
      <c r="H232">
        <v>0</v>
      </c>
      <c r="I232">
        <v>0</v>
      </c>
      <c r="J232">
        <v>-0.97087378640776689</v>
      </c>
    </row>
    <row r="233" spans="1:10" x14ac:dyDescent="0.2">
      <c r="A233" t="s">
        <v>331</v>
      </c>
      <c r="B233" t="s">
        <v>340</v>
      </c>
      <c r="C233" t="s">
        <v>12</v>
      </c>
      <c r="D233" t="s">
        <v>15</v>
      </c>
      <c r="E233">
        <v>25.75</v>
      </c>
      <c r="F233">
        <v>803800</v>
      </c>
      <c r="G233" t="s">
        <v>16</v>
      </c>
      <c r="H233">
        <v>0</v>
      </c>
      <c r="I233">
        <v>0</v>
      </c>
      <c r="J233">
        <v>-0.97087378640776689</v>
      </c>
    </row>
    <row r="234" spans="1:10" x14ac:dyDescent="0.2">
      <c r="A234" t="s">
        <v>331</v>
      </c>
      <c r="B234" t="s">
        <v>342</v>
      </c>
      <c r="C234" t="s">
        <v>12</v>
      </c>
      <c r="D234" t="s">
        <v>13</v>
      </c>
      <c r="E234">
        <v>25.75</v>
      </c>
      <c r="F234">
        <v>597801</v>
      </c>
      <c r="G234" t="s">
        <v>343</v>
      </c>
      <c r="H234">
        <v>0</v>
      </c>
      <c r="I234">
        <v>-0.97087378640776689</v>
      </c>
      <c r="J234">
        <v>-2.912621359223301</v>
      </c>
    </row>
    <row r="235" spans="1:10" x14ac:dyDescent="0.2">
      <c r="A235" s="2" t="s">
        <v>331</v>
      </c>
      <c r="B235" s="2" t="s">
        <v>342</v>
      </c>
      <c r="C235" s="2" t="s">
        <v>12</v>
      </c>
      <c r="D235" s="2" t="s">
        <v>15</v>
      </c>
      <c r="E235" s="2">
        <v>25.75</v>
      </c>
      <c r="F235" s="2">
        <v>597801</v>
      </c>
      <c r="G235" s="2" t="s">
        <v>16</v>
      </c>
      <c r="H235" s="2">
        <v>0</v>
      </c>
      <c r="I235" s="2">
        <v>-0.97087378640776689</v>
      </c>
      <c r="J235" s="2">
        <v>-2.912621359223301</v>
      </c>
    </row>
    <row r="236" spans="1:10" x14ac:dyDescent="0.2">
      <c r="A236" t="s">
        <v>344</v>
      </c>
      <c r="B236" t="s">
        <v>345</v>
      </c>
      <c r="C236" t="s">
        <v>12</v>
      </c>
      <c r="D236" t="s">
        <v>25</v>
      </c>
      <c r="E236" s="17">
        <v>25.25</v>
      </c>
      <c r="F236">
        <v>283055</v>
      </c>
      <c r="G236" t="s">
        <v>145</v>
      </c>
      <c r="H236">
        <v>-0.99009900990099009</v>
      </c>
      <c r="I236">
        <v>-0.99009900990099009</v>
      </c>
      <c r="J236" s="9">
        <v>0.99009900990099009</v>
      </c>
    </row>
    <row r="237" spans="1:10" x14ac:dyDescent="0.2">
      <c r="A237" t="s">
        <v>344</v>
      </c>
      <c r="B237" t="s">
        <v>346</v>
      </c>
      <c r="C237" t="s">
        <v>12</v>
      </c>
      <c r="D237" t="s">
        <v>13</v>
      </c>
      <c r="E237">
        <v>25.5</v>
      </c>
      <c r="F237">
        <v>1173901</v>
      </c>
      <c r="G237" t="s">
        <v>347</v>
      </c>
      <c r="H237">
        <v>-1.9607843137254899</v>
      </c>
      <c r="I237">
        <v>-1.9607843137254899</v>
      </c>
      <c r="J237">
        <v>0</v>
      </c>
    </row>
    <row r="238" spans="1:10" x14ac:dyDescent="0.2">
      <c r="A238" t="s">
        <v>344</v>
      </c>
      <c r="B238" t="s">
        <v>346</v>
      </c>
      <c r="C238" t="s">
        <v>12</v>
      </c>
      <c r="D238" t="s">
        <v>25</v>
      </c>
      <c r="E238" s="17">
        <v>25.5</v>
      </c>
      <c r="F238">
        <v>1173901</v>
      </c>
      <c r="G238" t="s">
        <v>76</v>
      </c>
      <c r="H238">
        <v>-1.9607843137254899</v>
      </c>
      <c r="I238">
        <v>-1.9607843137254899</v>
      </c>
      <c r="J238">
        <v>0</v>
      </c>
    </row>
    <row r="239" spans="1:10" x14ac:dyDescent="0.2">
      <c r="A239" t="s">
        <v>344</v>
      </c>
      <c r="B239" t="s">
        <v>348</v>
      </c>
      <c r="C239" t="s">
        <v>12</v>
      </c>
      <c r="D239" t="s">
        <v>13</v>
      </c>
      <c r="E239">
        <v>25.25</v>
      </c>
      <c r="F239">
        <v>1216100</v>
      </c>
      <c r="G239" t="s">
        <v>349</v>
      </c>
      <c r="H239">
        <v>-0.99009900990099009</v>
      </c>
      <c r="I239">
        <v>-0.99009900990099009</v>
      </c>
      <c r="J239" s="9">
        <v>0.99009900990099009</v>
      </c>
    </row>
    <row r="240" spans="1:10" x14ac:dyDescent="0.2">
      <c r="A240" t="s">
        <v>344</v>
      </c>
      <c r="B240" t="s">
        <v>350</v>
      </c>
      <c r="C240" t="s">
        <v>12</v>
      </c>
      <c r="D240" t="s">
        <v>25</v>
      </c>
      <c r="E240" s="17">
        <v>25.5</v>
      </c>
      <c r="F240">
        <v>815869</v>
      </c>
      <c r="G240" t="s">
        <v>76</v>
      </c>
      <c r="H240">
        <v>0</v>
      </c>
      <c r="I240">
        <v>0</v>
      </c>
      <c r="J240">
        <v>-0.98039215686274506</v>
      </c>
    </row>
    <row r="241" spans="1:15" x14ac:dyDescent="0.2">
      <c r="A241" t="s">
        <v>344</v>
      </c>
      <c r="B241" t="s">
        <v>351</v>
      </c>
      <c r="C241" t="s">
        <v>12</v>
      </c>
      <c r="D241" t="s">
        <v>13</v>
      </c>
      <c r="E241">
        <v>25.25</v>
      </c>
      <c r="F241">
        <v>1317024</v>
      </c>
      <c r="G241" t="s">
        <v>352</v>
      </c>
      <c r="H241">
        <v>-0.99009900990099009</v>
      </c>
      <c r="I241">
        <v>0</v>
      </c>
      <c r="J241">
        <v>-0.99009900990099009</v>
      </c>
    </row>
    <row r="242" spans="1:15" x14ac:dyDescent="0.2">
      <c r="A242" t="s">
        <v>344</v>
      </c>
      <c r="B242" t="s">
        <v>353</v>
      </c>
      <c r="C242" t="s">
        <v>12</v>
      </c>
      <c r="D242" t="s">
        <v>13</v>
      </c>
      <c r="E242">
        <v>25</v>
      </c>
      <c r="F242">
        <v>1511600</v>
      </c>
      <c r="G242" t="s">
        <v>354</v>
      </c>
      <c r="H242">
        <v>0</v>
      </c>
      <c r="I242">
        <v>0</v>
      </c>
      <c r="J242">
        <v>0</v>
      </c>
    </row>
    <row r="243" spans="1:15" x14ac:dyDescent="0.2">
      <c r="A243" t="s">
        <v>344</v>
      </c>
      <c r="B243" t="s">
        <v>353</v>
      </c>
      <c r="C243" t="s">
        <v>12</v>
      </c>
      <c r="D243" t="s">
        <v>15</v>
      </c>
      <c r="E243">
        <v>25</v>
      </c>
      <c r="F243">
        <v>1511600</v>
      </c>
      <c r="G243" t="s">
        <v>16</v>
      </c>
      <c r="H243">
        <v>0</v>
      </c>
      <c r="I243">
        <v>0</v>
      </c>
      <c r="J243">
        <v>0</v>
      </c>
    </row>
    <row r="244" spans="1:15" x14ac:dyDescent="0.2">
      <c r="A244" t="s">
        <v>344</v>
      </c>
      <c r="B244" t="s">
        <v>355</v>
      </c>
      <c r="C244" t="s">
        <v>12</v>
      </c>
      <c r="D244" t="s">
        <v>13</v>
      </c>
      <c r="E244" s="9">
        <v>25</v>
      </c>
      <c r="F244">
        <v>624101</v>
      </c>
      <c r="G244" t="s">
        <v>356</v>
      </c>
      <c r="H244" s="9">
        <v>1</v>
      </c>
      <c r="I244" s="9">
        <v>0</v>
      </c>
      <c r="J244" s="9">
        <v>1</v>
      </c>
      <c r="L244" s="5" t="s">
        <v>470</v>
      </c>
      <c r="M244" s="4">
        <f>MIN(E244:E252)</f>
        <v>25</v>
      </c>
      <c r="N244" s="5" t="s">
        <v>471</v>
      </c>
      <c r="O244" s="6">
        <f>((M245-M244)/M244)</f>
        <v>0.02</v>
      </c>
    </row>
    <row r="245" spans="1:15" x14ac:dyDescent="0.2">
      <c r="A245" t="s">
        <v>344</v>
      </c>
      <c r="B245" t="s">
        <v>355</v>
      </c>
      <c r="C245" t="s">
        <v>12</v>
      </c>
      <c r="D245" t="s">
        <v>15</v>
      </c>
      <c r="E245">
        <v>25</v>
      </c>
      <c r="F245">
        <v>624101</v>
      </c>
      <c r="G245" t="s">
        <v>16</v>
      </c>
      <c r="H245">
        <v>1</v>
      </c>
      <c r="I245">
        <v>0</v>
      </c>
      <c r="J245">
        <v>1</v>
      </c>
      <c r="L245" s="5" t="s">
        <v>472</v>
      </c>
      <c r="M245" s="3">
        <f>MAX(E244:E252)</f>
        <v>25.5</v>
      </c>
      <c r="N245" s="5"/>
    </row>
    <row r="246" spans="1:15" x14ac:dyDescent="0.2">
      <c r="A246" t="s">
        <v>344</v>
      </c>
      <c r="B246" t="s">
        <v>357</v>
      </c>
      <c r="C246" t="s">
        <v>12</v>
      </c>
      <c r="D246" t="s">
        <v>13</v>
      </c>
      <c r="E246">
        <v>25</v>
      </c>
      <c r="F246">
        <v>881200</v>
      </c>
      <c r="G246" t="s">
        <v>358</v>
      </c>
      <c r="H246">
        <v>0</v>
      </c>
      <c r="I246">
        <v>1</v>
      </c>
      <c r="J246">
        <v>2</v>
      </c>
    </row>
    <row r="247" spans="1:15" x14ac:dyDescent="0.2">
      <c r="A247" t="s">
        <v>344</v>
      </c>
      <c r="B247" t="s">
        <v>357</v>
      </c>
      <c r="C247" t="s">
        <v>12</v>
      </c>
      <c r="D247" t="s">
        <v>15</v>
      </c>
      <c r="E247">
        <v>25</v>
      </c>
      <c r="F247">
        <v>881200</v>
      </c>
      <c r="G247" t="s">
        <v>16</v>
      </c>
      <c r="H247">
        <v>0</v>
      </c>
      <c r="I247">
        <v>1</v>
      </c>
      <c r="J247">
        <v>2</v>
      </c>
    </row>
    <row r="248" spans="1:15" x14ac:dyDescent="0.2">
      <c r="A248" t="s">
        <v>344</v>
      </c>
      <c r="B248" t="s">
        <v>359</v>
      </c>
      <c r="C248" t="s">
        <v>12</v>
      </c>
      <c r="D248" t="s">
        <v>13</v>
      </c>
      <c r="E248">
        <v>25.25</v>
      </c>
      <c r="F248">
        <v>1514700</v>
      </c>
      <c r="G248" t="s">
        <v>360</v>
      </c>
      <c r="H248">
        <v>0.99009900990099009</v>
      </c>
      <c r="I248">
        <v>0</v>
      </c>
      <c r="J248">
        <v>0</v>
      </c>
    </row>
    <row r="249" spans="1:15" x14ac:dyDescent="0.2">
      <c r="A249" t="s">
        <v>344</v>
      </c>
      <c r="B249" t="s">
        <v>359</v>
      </c>
      <c r="C249" t="s">
        <v>12</v>
      </c>
      <c r="D249" t="s">
        <v>25</v>
      </c>
      <c r="E249">
        <v>25.25</v>
      </c>
      <c r="F249">
        <v>1514700</v>
      </c>
      <c r="G249" t="s">
        <v>361</v>
      </c>
      <c r="H249">
        <v>0.99009900990099009</v>
      </c>
      <c r="I249">
        <v>0</v>
      </c>
      <c r="J249">
        <v>0</v>
      </c>
    </row>
    <row r="250" spans="1:15" x14ac:dyDescent="0.2">
      <c r="A250" t="s">
        <v>344</v>
      </c>
      <c r="B250" t="s">
        <v>359</v>
      </c>
      <c r="C250" t="s">
        <v>12</v>
      </c>
      <c r="D250" t="s">
        <v>15</v>
      </c>
      <c r="E250">
        <v>25.25</v>
      </c>
      <c r="F250">
        <v>1514700</v>
      </c>
      <c r="G250" t="s">
        <v>16</v>
      </c>
      <c r="H250">
        <v>0.99009900990099009</v>
      </c>
      <c r="I250">
        <v>0</v>
      </c>
      <c r="J250">
        <v>0</v>
      </c>
    </row>
    <row r="251" spans="1:15" x14ac:dyDescent="0.2">
      <c r="A251" t="s">
        <v>344</v>
      </c>
      <c r="B251" t="s">
        <v>362</v>
      </c>
      <c r="C251" t="s">
        <v>12</v>
      </c>
      <c r="D251" t="s">
        <v>13</v>
      </c>
      <c r="E251">
        <v>25.5</v>
      </c>
      <c r="F251">
        <v>775839</v>
      </c>
      <c r="G251" t="s">
        <v>363</v>
      </c>
      <c r="H251">
        <v>0</v>
      </c>
      <c r="I251">
        <v>-0.98039215686274506</v>
      </c>
      <c r="J251">
        <v>-1.9607843137254899</v>
      </c>
    </row>
    <row r="252" spans="1:15" x14ac:dyDescent="0.2">
      <c r="A252" s="2" t="s">
        <v>344</v>
      </c>
      <c r="B252" s="2" t="s">
        <v>362</v>
      </c>
      <c r="C252" s="2" t="s">
        <v>12</v>
      </c>
      <c r="D252" s="2" t="s">
        <v>15</v>
      </c>
      <c r="E252" s="2">
        <v>25.5</v>
      </c>
      <c r="F252" s="2">
        <v>775839</v>
      </c>
      <c r="G252" s="2" t="s">
        <v>16</v>
      </c>
      <c r="H252" s="2">
        <v>0</v>
      </c>
      <c r="I252" s="2">
        <v>-0.98039215686274506</v>
      </c>
      <c r="J252" s="2">
        <v>-1.9607843137254899</v>
      </c>
    </row>
    <row r="253" spans="1:15" x14ac:dyDescent="0.2">
      <c r="A253" t="s">
        <v>364</v>
      </c>
      <c r="B253" t="s">
        <v>365</v>
      </c>
      <c r="C253" t="s">
        <v>12</v>
      </c>
      <c r="D253" t="s">
        <v>13</v>
      </c>
      <c r="E253" s="9">
        <v>24.89999961853027</v>
      </c>
      <c r="F253">
        <v>1596632</v>
      </c>
      <c r="G253" t="s">
        <v>366</v>
      </c>
      <c r="H253" s="9">
        <v>1.405624043501031</v>
      </c>
      <c r="I253" s="9">
        <v>0.4016079638624071</v>
      </c>
      <c r="J253" s="9">
        <v>0.4016079638624071</v>
      </c>
      <c r="L253" s="5" t="s">
        <v>470</v>
      </c>
      <c r="M253" s="3">
        <f>MIN(E253:E259)</f>
        <v>24.89999961853027</v>
      </c>
      <c r="N253" s="5" t="s">
        <v>471</v>
      </c>
      <c r="O253" s="6">
        <f>((M254-M253)/M253)</f>
        <v>1.4056240435010456E-2</v>
      </c>
    </row>
    <row r="254" spans="1:15" x14ac:dyDescent="0.2">
      <c r="A254" t="s">
        <v>364</v>
      </c>
      <c r="B254" t="s">
        <v>367</v>
      </c>
      <c r="C254" t="s">
        <v>12</v>
      </c>
      <c r="D254" t="s">
        <v>13</v>
      </c>
      <c r="E254">
        <v>25.25</v>
      </c>
      <c r="F254">
        <v>503900</v>
      </c>
      <c r="G254" t="s">
        <v>368</v>
      </c>
      <c r="H254">
        <v>0</v>
      </c>
      <c r="I254">
        <v>0</v>
      </c>
      <c r="J254">
        <v>-0.99009900990099009</v>
      </c>
      <c r="L254" s="5" t="s">
        <v>472</v>
      </c>
      <c r="M254" s="3">
        <f>MAX(E253:E259)</f>
        <v>25.25</v>
      </c>
      <c r="N254" s="5"/>
    </row>
    <row r="255" spans="1:15" x14ac:dyDescent="0.2">
      <c r="A255" t="s">
        <v>364</v>
      </c>
      <c r="B255" t="s">
        <v>369</v>
      </c>
      <c r="C255" t="s">
        <v>12</v>
      </c>
      <c r="D255" t="s">
        <v>13</v>
      </c>
      <c r="E255">
        <v>25</v>
      </c>
      <c r="F255">
        <v>560000</v>
      </c>
      <c r="G255" t="s">
        <v>370</v>
      </c>
      <c r="H255">
        <v>1</v>
      </c>
      <c r="I255">
        <v>1</v>
      </c>
      <c r="J255">
        <v>1</v>
      </c>
    </row>
    <row r="256" spans="1:15" x14ac:dyDescent="0.2">
      <c r="A256" t="s">
        <v>364</v>
      </c>
      <c r="B256" t="s">
        <v>371</v>
      </c>
      <c r="C256" t="s">
        <v>12</v>
      </c>
      <c r="D256" t="s">
        <v>13</v>
      </c>
      <c r="E256">
        <v>25</v>
      </c>
      <c r="F256">
        <v>881500</v>
      </c>
      <c r="G256" t="s">
        <v>372</v>
      </c>
      <c r="H256">
        <v>1</v>
      </c>
      <c r="I256">
        <v>0</v>
      </c>
      <c r="J256">
        <v>1</v>
      </c>
    </row>
    <row r="257" spans="1:15" x14ac:dyDescent="0.2">
      <c r="A257" t="s">
        <v>364</v>
      </c>
      <c r="B257" t="s">
        <v>371</v>
      </c>
      <c r="C257" t="s">
        <v>12</v>
      </c>
      <c r="D257" t="s">
        <v>15</v>
      </c>
      <c r="E257">
        <v>25</v>
      </c>
      <c r="F257">
        <v>881500</v>
      </c>
      <c r="G257" t="s">
        <v>16</v>
      </c>
      <c r="H257">
        <v>1</v>
      </c>
      <c r="I257">
        <v>0</v>
      </c>
      <c r="J257">
        <v>1</v>
      </c>
    </row>
    <row r="258" spans="1:15" x14ac:dyDescent="0.2">
      <c r="A258" t="s">
        <v>364</v>
      </c>
      <c r="B258" t="s">
        <v>373</v>
      </c>
      <c r="C258" t="s">
        <v>12</v>
      </c>
      <c r="D258" t="s">
        <v>13</v>
      </c>
      <c r="E258">
        <v>25</v>
      </c>
      <c r="F258">
        <v>669600</v>
      </c>
      <c r="G258" t="s">
        <v>374</v>
      </c>
      <c r="H258">
        <v>1</v>
      </c>
      <c r="I258">
        <v>-0.8000030517578125</v>
      </c>
      <c r="J258">
        <v>1</v>
      </c>
    </row>
    <row r="259" spans="1:15" x14ac:dyDescent="0.2">
      <c r="A259" s="2" t="s">
        <v>364</v>
      </c>
      <c r="B259" s="2" t="s">
        <v>375</v>
      </c>
      <c r="C259" s="2" t="s">
        <v>12</v>
      </c>
      <c r="D259" s="2" t="s">
        <v>13</v>
      </c>
      <c r="E259" s="2">
        <v>25</v>
      </c>
      <c r="F259" s="2">
        <v>784000</v>
      </c>
      <c r="G259" s="2" t="s">
        <v>376</v>
      </c>
      <c r="H259" s="2">
        <v>2</v>
      </c>
      <c r="I259" s="2">
        <v>1</v>
      </c>
      <c r="J259" s="2">
        <v>1</v>
      </c>
    </row>
    <row r="260" spans="1:15" x14ac:dyDescent="0.2">
      <c r="A260" t="s">
        <v>377</v>
      </c>
      <c r="B260" t="s">
        <v>378</v>
      </c>
      <c r="C260" t="s">
        <v>12</v>
      </c>
      <c r="D260" t="s">
        <v>13</v>
      </c>
      <c r="E260" s="9">
        <v>24.79999923706055</v>
      </c>
      <c r="F260">
        <v>3292700</v>
      </c>
      <c r="G260" t="s">
        <v>379</v>
      </c>
      <c r="H260" s="9">
        <v>1.814519261222324</v>
      </c>
      <c r="I260" s="9">
        <v>1.814519261222324</v>
      </c>
      <c r="J260" s="9">
        <v>1.814519261222324</v>
      </c>
      <c r="L260" s="5" t="s">
        <v>470</v>
      </c>
      <c r="M260" s="3">
        <f>MIN(E260:E287)</f>
        <v>24.5</v>
      </c>
      <c r="N260" s="5" t="s">
        <v>471</v>
      </c>
      <c r="O260" s="6">
        <f>((M261-M260)/M260)</f>
        <v>4.0816326530612242E-2</v>
      </c>
    </row>
    <row r="261" spans="1:15" x14ac:dyDescent="0.2">
      <c r="A261" t="s">
        <v>377</v>
      </c>
      <c r="B261" t="s">
        <v>380</v>
      </c>
      <c r="C261" t="s">
        <v>12</v>
      </c>
      <c r="D261" t="s">
        <v>25</v>
      </c>
      <c r="E261" s="17">
        <v>25.5</v>
      </c>
      <c r="F261">
        <v>1130800</v>
      </c>
      <c r="G261" t="s">
        <v>381</v>
      </c>
      <c r="H261">
        <v>-0.98039215686274506</v>
      </c>
      <c r="I261">
        <v>-0.98039215686274506</v>
      </c>
      <c r="J261">
        <v>-0.98039215686274506</v>
      </c>
      <c r="L261" s="5" t="s">
        <v>472</v>
      </c>
      <c r="M261" s="4">
        <f>MAX(E260:E287)</f>
        <v>25.5</v>
      </c>
      <c r="N261" s="5"/>
    </row>
    <row r="262" spans="1:15" x14ac:dyDescent="0.2">
      <c r="A262" t="s">
        <v>377</v>
      </c>
      <c r="B262" t="s">
        <v>382</v>
      </c>
      <c r="C262" t="s">
        <v>12</v>
      </c>
      <c r="D262" t="s">
        <v>13</v>
      </c>
      <c r="E262">
        <v>24.89999961853027</v>
      </c>
      <c r="F262">
        <v>921100</v>
      </c>
      <c r="G262" t="s">
        <v>383</v>
      </c>
      <c r="H262">
        <v>0.4016079638624071</v>
      </c>
      <c r="I262">
        <v>0.4016079638624071</v>
      </c>
      <c r="J262">
        <v>0.4016079638624071</v>
      </c>
    </row>
    <row r="263" spans="1:15" x14ac:dyDescent="0.2">
      <c r="A263" t="s">
        <v>377</v>
      </c>
      <c r="B263" t="s">
        <v>382</v>
      </c>
      <c r="C263" t="s">
        <v>12</v>
      </c>
      <c r="D263" t="s">
        <v>25</v>
      </c>
      <c r="E263" s="9">
        <v>24.89999961853027</v>
      </c>
      <c r="F263">
        <v>921100</v>
      </c>
      <c r="G263" t="s">
        <v>384</v>
      </c>
      <c r="H263">
        <v>0.4016079638624071</v>
      </c>
      <c r="I263">
        <v>0.4016079638624071</v>
      </c>
      <c r="J263">
        <v>0.4016079638624071</v>
      </c>
    </row>
    <row r="264" spans="1:15" x14ac:dyDescent="0.2">
      <c r="A264" t="s">
        <v>377</v>
      </c>
      <c r="B264" t="s">
        <v>385</v>
      </c>
      <c r="C264" t="s">
        <v>12</v>
      </c>
      <c r="D264" t="s">
        <v>13</v>
      </c>
      <c r="E264">
        <v>24.89999961853027</v>
      </c>
      <c r="F264">
        <v>623646</v>
      </c>
      <c r="G264" t="s">
        <v>386</v>
      </c>
      <c r="H264">
        <v>0.4016079638624071</v>
      </c>
      <c r="I264">
        <v>0.4016079638624071</v>
      </c>
      <c r="J264">
        <v>0.4016079638624071</v>
      </c>
    </row>
    <row r="265" spans="1:15" x14ac:dyDescent="0.2">
      <c r="A265" t="s">
        <v>377</v>
      </c>
      <c r="B265" t="s">
        <v>385</v>
      </c>
      <c r="C265" t="s">
        <v>12</v>
      </c>
      <c r="D265" t="s">
        <v>15</v>
      </c>
      <c r="E265">
        <v>24.89999961853027</v>
      </c>
      <c r="F265">
        <v>623646</v>
      </c>
      <c r="G265" t="s">
        <v>16</v>
      </c>
      <c r="H265">
        <v>0.4016079638624071</v>
      </c>
      <c r="I265">
        <v>0.4016079638624071</v>
      </c>
      <c r="J265">
        <v>0.4016079638624071</v>
      </c>
    </row>
    <row r="266" spans="1:15" x14ac:dyDescent="0.2">
      <c r="A266" t="s">
        <v>377</v>
      </c>
      <c r="B266" t="s">
        <v>387</v>
      </c>
      <c r="C266" t="s">
        <v>12</v>
      </c>
      <c r="D266" t="s">
        <v>13</v>
      </c>
      <c r="E266" s="17">
        <v>25</v>
      </c>
      <c r="F266">
        <v>852665</v>
      </c>
      <c r="G266" t="s">
        <v>388</v>
      </c>
      <c r="H266">
        <v>-0.40000152587890619</v>
      </c>
      <c r="I266">
        <v>-0.40000152587890619</v>
      </c>
      <c r="J266">
        <v>0</v>
      </c>
    </row>
    <row r="267" spans="1:15" x14ac:dyDescent="0.2">
      <c r="A267" t="s">
        <v>377</v>
      </c>
      <c r="B267" t="s">
        <v>387</v>
      </c>
      <c r="C267" t="s">
        <v>12</v>
      </c>
      <c r="D267" t="s">
        <v>25</v>
      </c>
      <c r="E267">
        <v>25</v>
      </c>
      <c r="F267">
        <v>852665</v>
      </c>
      <c r="G267" t="s">
        <v>389</v>
      </c>
      <c r="H267">
        <v>-0.40000152587890619</v>
      </c>
      <c r="I267">
        <v>-0.40000152587890619</v>
      </c>
      <c r="J267">
        <v>0</v>
      </c>
    </row>
    <row r="268" spans="1:15" x14ac:dyDescent="0.2">
      <c r="A268" t="s">
        <v>377</v>
      </c>
      <c r="B268" t="s">
        <v>390</v>
      </c>
      <c r="C268" t="s">
        <v>12</v>
      </c>
      <c r="D268" t="s">
        <v>13</v>
      </c>
      <c r="E268" s="9">
        <v>24.89999961853027</v>
      </c>
      <c r="F268">
        <v>832616</v>
      </c>
      <c r="G268" t="s">
        <v>391</v>
      </c>
      <c r="H268">
        <v>0</v>
      </c>
      <c r="I268">
        <v>0.4016079638624071</v>
      </c>
      <c r="J268">
        <v>0.4016079638624071</v>
      </c>
    </row>
    <row r="269" spans="1:15" x14ac:dyDescent="0.2">
      <c r="A269" t="s">
        <v>377</v>
      </c>
      <c r="B269" t="s">
        <v>392</v>
      </c>
      <c r="C269" t="s">
        <v>12</v>
      </c>
      <c r="D269" t="s">
        <v>25</v>
      </c>
      <c r="E269" s="17">
        <v>25.25</v>
      </c>
      <c r="F269">
        <v>447901</v>
      </c>
      <c r="G269" t="s">
        <v>384</v>
      </c>
      <c r="H269">
        <v>-0.99009900990099009</v>
      </c>
      <c r="I269">
        <v>0</v>
      </c>
      <c r="J269">
        <v>-1.38614012463258</v>
      </c>
    </row>
    <row r="270" spans="1:15" x14ac:dyDescent="0.2">
      <c r="A270" t="s">
        <v>377</v>
      </c>
      <c r="B270" t="s">
        <v>393</v>
      </c>
      <c r="C270" t="s">
        <v>12</v>
      </c>
      <c r="D270" t="s">
        <v>13</v>
      </c>
      <c r="E270">
        <v>25</v>
      </c>
      <c r="F270">
        <v>620541</v>
      </c>
      <c r="G270" t="s">
        <v>394</v>
      </c>
      <c r="H270">
        <v>0</v>
      </c>
      <c r="I270">
        <v>0</v>
      </c>
      <c r="J270">
        <v>-0.8000030517578125</v>
      </c>
    </row>
    <row r="271" spans="1:15" x14ac:dyDescent="0.2">
      <c r="A271" t="s">
        <v>377</v>
      </c>
      <c r="B271" t="s">
        <v>395</v>
      </c>
      <c r="C271" t="s">
        <v>12</v>
      </c>
      <c r="D271" t="s">
        <v>13</v>
      </c>
      <c r="E271" s="17">
        <v>25</v>
      </c>
      <c r="F271">
        <v>273248</v>
      </c>
      <c r="G271" t="s">
        <v>396</v>
      </c>
      <c r="H271">
        <v>-0.8000030517578125</v>
      </c>
      <c r="I271">
        <v>-0.8000030517578125</v>
      </c>
      <c r="J271">
        <v>-0.8000030517578125</v>
      </c>
    </row>
    <row r="272" spans="1:15" x14ac:dyDescent="0.2">
      <c r="A272" s="2" t="s">
        <v>377</v>
      </c>
      <c r="B272" s="2" t="s">
        <v>395</v>
      </c>
      <c r="C272" s="2" t="s">
        <v>12</v>
      </c>
      <c r="D272" s="2" t="s">
        <v>15</v>
      </c>
      <c r="E272" s="2">
        <v>25</v>
      </c>
      <c r="F272" s="2">
        <v>273248</v>
      </c>
      <c r="G272" s="2" t="s">
        <v>16</v>
      </c>
      <c r="H272" s="2">
        <v>-0.8000030517578125</v>
      </c>
      <c r="I272" s="2">
        <v>-0.8000030517578125</v>
      </c>
      <c r="J272" s="2">
        <v>-0.8000030517578125</v>
      </c>
    </row>
    <row r="273" spans="1:15" x14ac:dyDescent="0.2">
      <c r="A273" t="s">
        <v>397</v>
      </c>
      <c r="B273" t="s">
        <v>398</v>
      </c>
      <c r="C273" t="s">
        <v>12</v>
      </c>
      <c r="D273" t="s">
        <v>25</v>
      </c>
      <c r="E273" s="17">
        <v>24.79999923706055</v>
      </c>
      <c r="F273">
        <v>0</v>
      </c>
      <c r="G273" t="s">
        <v>399</v>
      </c>
      <c r="H273">
        <v>-0.40321966611861149</v>
      </c>
      <c r="I273">
        <v>-0.40321966611861149</v>
      </c>
      <c r="J273">
        <v>-0.40321966611861149</v>
      </c>
    </row>
    <row r="274" spans="1:15" x14ac:dyDescent="0.2">
      <c r="A274" t="s">
        <v>397</v>
      </c>
      <c r="B274" t="s">
        <v>400</v>
      </c>
      <c r="C274" t="s">
        <v>12</v>
      </c>
      <c r="D274" t="s">
        <v>13</v>
      </c>
      <c r="E274" s="17">
        <v>24.89999961853027</v>
      </c>
      <c r="F274">
        <v>284900</v>
      </c>
      <c r="G274" t="s">
        <v>401</v>
      </c>
      <c r="H274">
        <v>-0.80320826769002696</v>
      </c>
      <c r="I274">
        <v>-0.80320826769002696</v>
      </c>
      <c r="J274">
        <v>-0.80320826769002696</v>
      </c>
    </row>
    <row r="275" spans="1:15" x14ac:dyDescent="0.2">
      <c r="A275" t="s">
        <v>397</v>
      </c>
      <c r="B275" t="s">
        <v>402</v>
      </c>
      <c r="C275" t="s">
        <v>12</v>
      </c>
      <c r="D275" t="s">
        <v>13</v>
      </c>
      <c r="E275">
        <v>24.79999923706055</v>
      </c>
      <c r="F275">
        <v>357500</v>
      </c>
      <c r="G275" t="s">
        <v>403</v>
      </c>
      <c r="H275">
        <v>0</v>
      </c>
      <c r="I275">
        <v>0</v>
      </c>
      <c r="J275">
        <v>-0.40321966611861149</v>
      </c>
    </row>
    <row r="276" spans="1:15" x14ac:dyDescent="0.2">
      <c r="A276" t="s">
        <v>397</v>
      </c>
      <c r="B276" t="s">
        <v>404</v>
      </c>
      <c r="C276" t="s">
        <v>12</v>
      </c>
      <c r="D276" t="s">
        <v>13</v>
      </c>
      <c r="E276" s="9">
        <v>24.70000076293945</v>
      </c>
      <c r="F276">
        <v>556113</v>
      </c>
      <c r="G276" t="s">
        <v>405</v>
      </c>
      <c r="H276">
        <v>0</v>
      </c>
      <c r="I276">
        <v>0.4048521094425801</v>
      </c>
      <c r="J276">
        <v>0.4048521094425801</v>
      </c>
    </row>
    <row r="277" spans="1:15" x14ac:dyDescent="0.2">
      <c r="A277" t="s">
        <v>397</v>
      </c>
      <c r="B277" t="s">
        <v>406</v>
      </c>
      <c r="C277" t="s">
        <v>12</v>
      </c>
      <c r="D277" t="s">
        <v>13</v>
      </c>
      <c r="E277">
        <v>24.70000076293945</v>
      </c>
      <c r="F277">
        <v>420142</v>
      </c>
      <c r="G277" t="s">
        <v>407</v>
      </c>
      <c r="H277">
        <v>-0.40485983150158372</v>
      </c>
      <c r="I277">
        <v>-0.40485983150158372</v>
      </c>
      <c r="J277">
        <v>-0.40485983150158372</v>
      </c>
    </row>
    <row r="278" spans="1:15" x14ac:dyDescent="0.2">
      <c r="A278" t="s">
        <v>397</v>
      </c>
      <c r="B278" t="s">
        <v>406</v>
      </c>
      <c r="C278" t="s">
        <v>12</v>
      </c>
      <c r="D278" t="s">
        <v>15</v>
      </c>
      <c r="E278" s="17">
        <v>24.70000076293945</v>
      </c>
      <c r="F278">
        <v>420142</v>
      </c>
      <c r="G278" t="s">
        <v>16</v>
      </c>
      <c r="H278">
        <v>-0.40485983150158372</v>
      </c>
      <c r="I278">
        <v>-0.40485983150158372</v>
      </c>
      <c r="J278">
        <v>-0.40485983150158372</v>
      </c>
    </row>
    <row r="279" spans="1:15" x14ac:dyDescent="0.2">
      <c r="A279" t="s">
        <v>397</v>
      </c>
      <c r="B279" t="s">
        <v>408</v>
      </c>
      <c r="C279" t="s">
        <v>12</v>
      </c>
      <c r="D279" t="s">
        <v>13</v>
      </c>
      <c r="E279">
        <v>24.60000038146973</v>
      </c>
      <c r="F279">
        <v>821300</v>
      </c>
      <c r="G279" t="s">
        <v>409</v>
      </c>
      <c r="H279">
        <v>0.81300346540430168</v>
      </c>
      <c r="I279">
        <v>0</v>
      </c>
      <c r="J279">
        <v>-0.40650560942695418</v>
      </c>
    </row>
    <row r="280" spans="1:15" x14ac:dyDescent="0.2">
      <c r="A280" t="s">
        <v>397</v>
      </c>
      <c r="B280" t="s">
        <v>408</v>
      </c>
      <c r="C280" t="s">
        <v>12</v>
      </c>
      <c r="D280" t="s">
        <v>15</v>
      </c>
      <c r="E280" s="9">
        <v>24.60000038146973</v>
      </c>
      <c r="F280">
        <v>821300</v>
      </c>
      <c r="G280" t="s">
        <v>16</v>
      </c>
      <c r="H280">
        <v>0.81300346540430168</v>
      </c>
      <c r="I280">
        <v>0</v>
      </c>
      <c r="J280">
        <v>-0.40650560942695418</v>
      </c>
    </row>
    <row r="281" spans="1:15" x14ac:dyDescent="0.2">
      <c r="A281" t="s">
        <v>397</v>
      </c>
      <c r="B281" t="s">
        <v>410</v>
      </c>
      <c r="C281" t="s">
        <v>12</v>
      </c>
      <c r="D281" t="s">
        <v>13</v>
      </c>
      <c r="E281">
        <v>24.70000076293945</v>
      </c>
      <c r="F281">
        <v>655005</v>
      </c>
      <c r="G281" t="s">
        <v>411</v>
      </c>
      <c r="H281">
        <v>0</v>
      </c>
      <c r="I281">
        <v>-0.40485983150158372</v>
      </c>
      <c r="J281">
        <v>-0.80971966300316733</v>
      </c>
    </row>
    <row r="282" spans="1:15" x14ac:dyDescent="0.2">
      <c r="A282" t="s">
        <v>397</v>
      </c>
      <c r="B282" t="s">
        <v>410</v>
      </c>
      <c r="C282" t="s">
        <v>12</v>
      </c>
      <c r="D282" t="s">
        <v>25</v>
      </c>
      <c r="E282" s="17">
        <v>24.70000076293945</v>
      </c>
      <c r="F282">
        <v>655005</v>
      </c>
      <c r="G282" t="s">
        <v>412</v>
      </c>
      <c r="H282">
        <v>0</v>
      </c>
      <c r="I282">
        <v>-0.40485983150158372</v>
      </c>
      <c r="J282">
        <v>-0.80971966300316733</v>
      </c>
    </row>
    <row r="283" spans="1:15" x14ac:dyDescent="0.2">
      <c r="A283" t="s">
        <v>397</v>
      </c>
      <c r="B283" t="s">
        <v>413</v>
      </c>
      <c r="C283" t="s">
        <v>12</v>
      </c>
      <c r="D283" t="s">
        <v>25</v>
      </c>
      <c r="E283">
        <v>24.70000076293945</v>
      </c>
      <c r="F283">
        <v>193700</v>
      </c>
      <c r="G283" t="s">
        <v>414</v>
      </c>
      <c r="H283">
        <v>-0.40485983150158372</v>
      </c>
      <c r="I283">
        <v>-0.40485983150158372</v>
      </c>
      <c r="J283">
        <v>-0.80971966300316733</v>
      </c>
    </row>
    <row r="284" spans="1:15" x14ac:dyDescent="0.2">
      <c r="A284" t="s">
        <v>397</v>
      </c>
      <c r="B284" t="s">
        <v>415</v>
      </c>
      <c r="C284" t="s">
        <v>12</v>
      </c>
      <c r="D284" t="s">
        <v>13</v>
      </c>
      <c r="E284" s="17">
        <v>24.60000038146973</v>
      </c>
      <c r="F284">
        <v>623800</v>
      </c>
      <c r="G284" t="s">
        <v>416</v>
      </c>
      <c r="H284">
        <v>-0.40650560942695418</v>
      </c>
      <c r="I284">
        <v>-0.40650560942695418</v>
      </c>
      <c r="J284">
        <v>0.81300346540430168</v>
      </c>
    </row>
    <row r="285" spans="1:15" x14ac:dyDescent="0.2">
      <c r="A285" t="s">
        <v>397</v>
      </c>
      <c r="B285" t="s">
        <v>415</v>
      </c>
      <c r="C285" t="s">
        <v>12</v>
      </c>
      <c r="D285" t="s">
        <v>25</v>
      </c>
      <c r="E285">
        <v>24.60000038146973</v>
      </c>
      <c r="F285">
        <v>623800</v>
      </c>
      <c r="G285" t="s">
        <v>417</v>
      </c>
      <c r="H285">
        <v>-0.40650560942695418</v>
      </c>
      <c r="I285">
        <v>-0.40650560942695418</v>
      </c>
      <c r="J285">
        <v>0.81300346540430168</v>
      </c>
    </row>
    <row r="286" spans="1:15" x14ac:dyDescent="0.2">
      <c r="A286" t="s">
        <v>397</v>
      </c>
      <c r="B286" t="s">
        <v>418</v>
      </c>
      <c r="C286" t="s">
        <v>12</v>
      </c>
      <c r="D286" t="s">
        <v>13</v>
      </c>
      <c r="E286" s="9">
        <v>24.5</v>
      </c>
      <c r="F286">
        <v>855955</v>
      </c>
      <c r="G286" t="s">
        <v>419</v>
      </c>
      <c r="H286" s="9">
        <v>0</v>
      </c>
      <c r="I286" s="9">
        <v>1.6326515042051979</v>
      </c>
      <c r="J286" s="9">
        <v>0.81632964465082913</v>
      </c>
    </row>
    <row r="287" spans="1:15" x14ac:dyDescent="0.2">
      <c r="A287" t="s">
        <v>397</v>
      </c>
      <c r="B287" t="s">
        <v>418</v>
      </c>
      <c r="C287" t="s">
        <v>12</v>
      </c>
      <c r="D287" t="s">
        <v>15</v>
      </c>
      <c r="E287">
        <v>24.5</v>
      </c>
      <c r="F287">
        <v>855955</v>
      </c>
      <c r="G287" t="s">
        <v>16</v>
      </c>
      <c r="H287">
        <v>0</v>
      </c>
      <c r="I287">
        <v>1.6326515042051979</v>
      </c>
      <c r="J287">
        <v>0.81632964465082913</v>
      </c>
    </row>
    <row r="288" spans="1:15" x14ac:dyDescent="0.2">
      <c r="A288" t="s">
        <v>397</v>
      </c>
      <c r="B288" t="s">
        <v>420</v>
      </c>
      <c r="C288" t="s">
        <v>12</v>
      </c>
      <c r="D288" t="s">
        <v>13</v>
      </c>
      <c r="E288" s="15">
        <v>24.39999961853027</v>
      </c>
      <c r="F288">
        <v>1258709</v>
      </c>
      <c r="G288" t="s">
        <v>421</v>
      </c>
      <c r="H288" s="9">
        <v>1.6393427245240559</v>
      </c>
      <c r="I288" s="9">
        <v>2.049180359905749</v>
      </c>
      <c r="J288" s="9">
        <v>1.2295129061450789</v>
      </c>
      <c r="L288" s="5" t="s">
        <v>470</v>
      </c>
      <c r="M288" s="3">
        <f>MIN(E288:E323)</f>
        <v>24.39999961853027</v>
      </c>
      <c r="N288" s="5" t="s">
        <v>471</v>
      </c>
      <c r="O288" s="6">
        <f>((M289-M288)/M288)</f>
        <v>7.5819688950518299E-2</v>
      </c>
    </row>
    <row r="289" spans="1:15" x14ac:dyDescent="0.2">
      <c r="A289" t="s">
        <v>397</v>
      </c>
      <c r="B289" t="s">
        <v>422</v>
      </c>
      <c r="C289" t="s">
        <v>12</v>
      </c>
      <c r="D289" t="s">
        <v>13</v>
      </c>
      <c r="E289">
        <v>24.79999923706055</v>
      </c>
      <c r="F289">
        <v>1526154</v>
      </c>
      <c r="G289" t="s">
        <v>423</v>
      </c>
      <c r="H289">
        <v>0.40322735704075469</v>
      </c>
      <c r="I289">
        <v>-0.40321966611861149</v>
      </c>
      <c r="J289">
        <v>0.80645471408150937</v>
      </c>
      <c r="L289" s="5" t="s">
        <v>472</v>
      </c>
      <c r="M289" s="4">
        <f>MAX(E288:E323)</f>
        <v>26.25</v>
      </c>
      <c r="N289" s="5"/>
    </row>
    <row r="290" spans="1:15" x14ac:dyDescent="0.2">
      <c r="A290" s="2" t="s">
        <v>397</v>
      </c>
      <c r="B290" s="2" t="s">
        <v>422</v>
      </c>
      <c r="C290" s="2" t="s">
        <v>12</v>
      </c>
      <c r="D290" s="2" t="s">
        <v>25</v>
      </c>
      <c r="E290" s="11">
        <v>24.79999923706055</v>
      </c>
      <c r="F290" s="2">
        <v>1526154</v>
      </c>
      <c r="G290" s="2" t="s">
        <v>424</v>
      </c>
      <c r="H290" s="2">
        <v>0.40322735704075469</v>
      </c>
      <c r="I290" s="18">
        <v>-0.40321966611861149</v>
      </c>
      <c r="J290" s="2">
        <v>0.80645471408150937</v>
      </c>
    </row>
    <row r="291" spans="1:15" x14ac:dyDescent="0.2">
      <c r="A291" t="s">
        <v>425</v>
      </c>
      <c r="B291" t="s">
        <v>426</v>
      </c>
      <c r="C291" t="s">
        <v>12</v>
      </c>
      <c r="D291" t="s">
        <v>25</v>
      </c>
      <c r="E291" s="9">
        <v>25</v>
      </c>
      <c r="F291">
        <v>0</v>
      </c>
      <c r="G291" t="s">
        <v>427</v>
      </c>
      <c r="H291" s="9">
        <v>1</v>
      </c>
      <c r="I291" s="9">
        <v>0</v>
      </c>
      <c r="J291" s="9">
        <v>1</v>
      </c>
      <c r="L291" s="5"/>
      <c r="M291" s="4"/>
      <c r="N291" s="5"/>
      <c r="O291" s="6"/>
    </row>
    <row r="292" spans="1:15" x14ac:dyDescent="0.2">
      <c r="A292" t="s">
        <v>425</v>
      </c>
      <c r="B292" t="s">
        <v>428</v>
      </c>
      <c r="C292" t="s">
        <v>12</v>
      </c>
      <c r="D292" t="s">
        <v>13</v>
      </c>
      <c r="E292">
        <v>25</v>
      </c>
      <c r="F292">
        <v>1836602</v>
      </c>
      <c r="G292" t="s">
        <v>429</v>
      </c>
      <c r="H292">
        <v>0</v>
      </c>
      <c r="I292">
        <v>1</v>
      </c>
      <c r="J292">
        <v>0</v>
      </c>
      <c r="L292" s="5"/>
      <c r="M292" s="4"/>
      <c r="N292" s="5"/>
    </row>
    <row r="293" spans="1:15" x14ac:dyDescent="0.2">
      <c r="A293" t="s">
        <v>425</v>
      </c>
      <c r="B293" t="s">
        <v>428</v>
      </c>
      <c r="C293" t="s">
        <v>12</v>
      </c>
      <c r="D293" t="s">
        <v>15</v>
      </c>
      <c r="E293">
        <v>25</v>
      </c>
      <c r="F293">
        <v>1836602</v>
      </c>
      <c r="G293" t="s">
        <v>16</v>
      </c>
      <c r="H293">
        <v>0</v>
      </c>
      <c r="I293">
        <v>1</v>
      </c>
      <c r="J293">
        <v>0</v>
      </c>
    </row>
    <row r="294" spans="1:15" x14ac:dyDescent="0.2">
      <c r="A294" t="s">
        <v>425</v>
      </c>
      <c r="B294" t="s">
        <v>430</v>
      </c>
      <c r="C294" t="s">
        <v>12</v>
      </c>
      <c r="D294" t="s">
        <v>13</v>
      </c>
      <c r="E294" s="17">
        <v>25.25</v>
      </c>
      <c r="F294">
        <v>2716580</v>
      </c>
      <c r="G294" t="s">
        <v>431</v>
      </c>
      <c r="H294">
        <v>-0.99009900990099009</v>
      </c>
      <c r="I294">
        <v>-0.99009900990099009</v>
      </c>
      <c r="J294">
        <v>0</v>
      </c>
    </row>
    <row r="295" spans="1:15" x14ac:dyDescent="0.2">
      <c r="A295" t="s">
        <v>425</v>
      </c>
      <c r="B295" t="s">
        <v>432</v>
      </c>
      <c r="C295" t="s">
        <v>12</v>
      </c>
      <c r="D295" t="s">
        <v>13</v>
      </c>
      <c r="E295">
        <v>25</v>
      </c>
      <c r="F295">
        <v>642501</v>
      </c>
      <c r="G295" t="s">
        <v>433</v>
      </c>
      <c r="H295">
        <v>0</v>
      </c>
      <c r="I295">
        <v>0</v>
      </c>
      <c r="J295">
        <v>0</v>
      </c>
    </row>
    <row r="296" spans="1:15" x14ac:dyDescent="0.2">
      <c r="A296" t="s">
        <v>425</v>
      </c>
      <c r="B296" t="s">
        <v>432</v>
      </c>
      <c r="C296" t="s">
        <v>12</v>
      </c>
      <c r="D296" t="s">
        <v>15</v>
      </c>
      <c r="E296">
        <v>25</v>
      </c>
      <c r="F296">
        <v>642501</v>
      </c>
      <c r="G296" t="s">
        <v>16</v>
      </c>
      <c r="H296">
        <v>0</v>
      </c>
      <c r="I296">
        <v>0</v>
      </c>
      <c r="J296">
        <v>0</v>
      </c>
    </row>
    <row r="297" spans="1:15" x14ac:dyDescent="0.2">
      <c r="A297" t="s">
        <v>425</v>
      </c>
      <c r="B297" t="s">
        <v>434</v>
      </c>
      <c r="C297" t="s">
        <v>12</v>
      </c>
      <c r="D297" t="s">
        <v>13</v>
      </c>
      <c r="E297" s="9">
        <v>25</v>
      </c>
      <c r="F297">
        <v>469700</v>
      </c>
      <c r="G297" t="s">
        <v>435</v>
      </c>
      <c r="H297">
        <v>1</v>
      </c>
      <c r="I297">
        <v>1</v>
      </c>
      <c r="J297">
        <v>0</v>
      </c>
    </row>
    <row r="298" spans="1:15" x14ac:dyDescent="0.2">
      <c r="A298" t="s">
        <v>425</v>
      </c>
      <c r="B298" t="s">
        <v>434</v>
      </c>
      <c r="C298" t="s">
        <v>12</v>
      </c>
      <c r="D298" t="s">
        <v>15</v>
      </c>
      <c r="E298">
        <v>25</v>
      </c>
      <c r="F298">
        <v>469700</v>
      </c>
      <c r="G298" t="s">
        <v>16</v>
      </c>
      <c r="H298">
        <v>1</v>
      </c>
      <c r="I298">
        <v>1</v>
      </c>
      <c r="J298">
        <v>0</v>
      </c>
    </row>
    <row r="299" spans="1:15" x14ac:dyDescent="0.2">
      <c r="A299" t="s">
        <v>425</v>
      </c>
      <c r="B299" t="s">
        <v>436</v>
      </c>
      <c r="C299" t="s">
        <v>12</v>
      </c>
      <c r="D299" t="s">
        <v>13</v>
      </c>
      <c r="E299">
        <v>25</v>
      </c>
      <c r="F299">
        <v>586200</v>
      </c>
      <c r="G299" t="s">
        <v>437</v>
      </c>
      <c r="H299">
        <v>1</v>
      </c>
      <c r="I299">
        <v>1</v>
      </c>
      <c r="J299">
        <v>0</v>
      </c>
    </row>
    <row r="300" spans="1:15" x14ac:dyDescent="0.2">
      <c r="A300" t="s">
        <v>425</v>
      </c>
      <c r="B300" t="s">
        <v>436</v>
      </c>
      <c r="C300" t="s">
        <v>12</v>
      </c>
      <c r="D300" t="s">
        <v>15</v>
      </c>
      <c r="E300">
        <v>25</v>
      </c>
      <c r="F300">
        <v>586200</v>
      </c>
      <c r="G300" t="s">
        <v>16</v>
      </c>
      <c r="H300">
        <v>1</v>
      </c>
      <c r="I300">
        <v>1</v>
      </c>
      <c r="J300">
        <v>0</v>
      </c>
    </row>
    <row r="301" spans="1:15" x14ac:dyDescent="0.2">
      <c r="A301" t="s">
        <v>425</v>
      </c>
      <c r="B301" t="s">
        <v>438</v>
      </c>
      <c r="C301" t="s">
        <v>12</v>
      </c>
      <c r="D301" t="s">
        <v>13</v>
      </c>
      <c r="E301" s="17">
        <v>25.25</v>
      </c>
      <c r="F301">
        <v>642000</v>
      </c>
      <c r="G301" t="s">
        <v>439</v>
      </c>
      <c r="H301">
        <v>0</v>
      </c>
      <c r="I301">
        <v>0</v>
      </c>
      <c r="J301">
        <v>-0.99009900990099009</v>
      </c>
    </row>
    <row r="302" spans="1:15" x14ac:dyDescent="0.2">
      <c r="A302" s="2" t="s">
        <v>425</v>
      </c>
      <c r="B302" s="2" t="s">
        <v>440</v>
      </c>
      <c r="C302" s="2" t="s">
        <v>12</v>
      </c>
      <c r="D302" s="2" t="s">
        <v>25</v>
      </c>
      <c r="E302" s="11">
        <v>25</v>
      </c>
      <c r="F302" s="2">
        <v>440000</v>
      </c>
      <c r="G302" s="2" t="s">
        <v>441</v>
      </c>
      <c r="H302" s="2">
        <v>0</v>
      </c>
      <c r="I302" s="2">
        <v>2</v>
      </c>
      <c r="J302" s="2">
        <v>3</v>
      </c>
    </row>
    <row r="303" spans="1:15" x14ac:dyDescent="0.2">
      <c r="A303" t="s">
        <v>442</v>
      </c>
      <c r="B303" t="s">
        <v>443</v>
      </c>
      <c r="C303" t="s">
        <v>12</v>
      </c>
      <c r="D303" t="s">
        <v>25</v>
      </c>
      <c r="E303" s="9">
        <v>25.25</v>
      </c>
      <c r="F303">
        <v>0</v>
      </c>
      <c r="G303" t="s">
        <v>444</v>
      </c>
      <c r="H303" s="9">
        <v>0</v>
      </c>
      <c r="I303" s="9">
        <v>0.99009900990099009</v>
      </c>
      <c r="J303" s="9">
        <v>1.98019801980198</v>
      </c>
    </row>
    <row r="304" spans="1:15" x14ac:dyDescent="0.2">
      <c r="A304" t="s">
        <v>442</v>
      </c>
      <c r="B304" t="s">
        <v>445</v>
      </c>
      <c r="C304" t="s">
        <v>12</v>
      </c>
      <c r="D304" t="s">
        <v>13</v>
      </c>
      <c r="E304">
        <v>25.25</v>
      </c>
      <c r="F304">
        <v>1455400</v>
      </c>
      <c r="G304" t="s">
        <v>446</v>
      </c>
      <c r="H304">
        <v>0.99009900990099009</v>
      </c>
      <c r="I304">
        <v>0.99009900990099009</v>
      </c>
      <c r="J304">
        <v>0.99009900990099009</v>
      </c>
    </row>
    <row r="305" spans="1:10" x14ac:dyDescent="0.2">
      <c r="A305" t="s">
        <v>442</v>
      </c>
      <c r="B305" t="s">
        <v>445</v>
      </c>
      <c r="C305" t="s">
        <v>12</v>
      </c>
      <c r="D305" t="s">
        <v>25</v>
      </c>
      <c r="E305">
        <v>25.25</v>
      </c>
      <c r="F305">
        <v>1455400</v>
      </c>
      <c r="G305" t="s">
        <v>447</v>
      </c>
      <c r="H305">
        <v>0.99009900990099009</v>
      </c>
      <c r="I305">
        <v>0.99009900990099009</v>
      </c>
      <c r="J305">
        <v>0.99009900990099009</v>
      </c>
    </row>
    <row r="306" spans="1:10" x14ac:dyDescent="0.2">
      <c r="A306" t="s">
        <v>442</v>
      </c>
      <c r="B306" t="s">
        <v>445</v>
      </c>
      <c r="C306" t="s">
        <v>12</v>
      </c>
      <c r="D306" t="s">
        <v>15</v>
      </c>
      <c r="E306">
        <v>25.25</v>
      </c>
      <c r="F306">
        <v>1455400</v>
      </c>
      <c r="G306" t="s">
        <v>16</v>
      </c>
      <c r="H306">
        <v>0.99009900990099009</v>
      </c>
      <c r="I306">
        <v>0.99009900990099009</v>
      </c>
      <c r="J306">
        <v>0.99009900990099009</v>
      </c>
    </row>
    <row r="307" spans="1:10" x14ac:dyDescent="0.2">
      <c r="A307" t="s">
        <v>442</v>
      </c>
      <c r="B307" t="s">
        <v>448</v>
      </c>
      <c r="C307" t="s">
        <v>12</v>
      </c>
      <c r="D307" t="s">
        <v>13</v>
      </c>
      <c r="E307" s="17">
        <v>25.5</v>
      </c>
      <c r="F307">
        <v>2344711</v>
      </c>
      <c r="G307" t="s">
        <v>449</v>
      </c>
      <c r="H307">
        <v>0</v>
      </c>
      <c r="I307">
        <v>0</v>
      </c>
      <c r="J307">
        <v>-0.98039215686274506</v>
      </c>
    </row>
    <row r="308" spans="1:10" x14ac:dyDescent="0.2">
      <c r="A308" t="s">
        <v>442</v>
      </c>
      <c r="B308" t="s">
        <v>448</v>
      </c>
      <c r="C308" t="s">
        <v>12</v>
      </c>
      <c r="D308" t="s">
        <v>25</v>
      </c>
      <c r="E308">
        <v>25.5</v>
      </c>
      <c r="F308">
        <v>2344711</v>
      </c>
      <c r="G308" t="s">
        <v>450</v>
      </c>
      <c r="H308">
        <v>0</v>
      </c>
      <c r="I308">
        <v>0</v>
      </c>
      <c r="J308">
        <v>-0.98039215686274506</v>
      </c>
    </row>
    <row r="309" spans="1:10" x14ac:dyDescent="0.2">
      <c r="A309" t="s">
        <v>442</v>
      </c>
      <c r="B309" t="s">
        <v>451</v>
      </c>
      <c r="C309" t="s">
        <v>12</v>
      </c>
      <c r="D309" t="s">
        <v>13</v>
      </c>
      <c r="E309">
        <v>25.5</v>
      </c>
      <c r="F309">
        <v>1401800</v>
      </c>
      <c r="G309" t="s">
        <v>452</v>
      </c>
      <c r="H309">
        <v>0</v>
      </c>
      <c r="I309">
        <v>0</v>
      </c>
      <c r="J309">
        <v>-0.98039215686274506</v>
      </c>
    </row>
    <row r="310" spans="1:10" x14ac:dyDescent="0.2">
      <c r="A310" t="s">
        <v>442</v>
      </c>
      <c r="B310" t="s">
        <v>453</v>
      </c>
      <c r="C310" t="s">
        <v>12</v>
      </c>
      <c r="D310" t="s">
        <v>13</v>
      </c>
      <c r="E310">
        <v>25.25</v>
      </c>
      <c r="F310">
        <v>590300</v>
      </c>
      <c r="G310" t="s">
        <v>454</v>
      </c>
      <c r="H310">
        <v>0</v>
      </c>
      <c r="I310">
        <v>0</v>
      </c>
      <c r="J310">
        <v>0</v>
      </c>
    </row>
    <row r="311" spans="1:10" x14ac:dyDescent="0.2">
      <c r="A311" t="s">
        <v>442</v>
      </c>
      <c r="B311" t="s">
        <v>455</v>
      </c>
      <c r="C311" t="s">
        <v>12</v>
      </c>
      <c r="D311" t="s">
        <v>13</v>
      </c>
      <c r="E311" s="9">
        <v>25.25</v>
      </c>
      <c r="F311">
        <v>832900</v>
      </c>
      <c r="G311" t="s">
        <v>456</v>
      </c>
      <c r="H311">
        <v>0.99009900990099009</v>
      </c>
      <c r="I311">
        <v>0</v>
      </c>
      <c r="J311">
        <v>0.99009900990099009</v>
      </c>
    </row>
    <row r="312" spans="1:10" x14ac:dyDescent="0.2">
      <c r="A312" t="s">
        <v>442</v>
      </c>
      <c r="B312" t="s">
        <v>455</v>
      </c>
      <c r="C312" t="s">
        <v>12</v>
      </c>
      <c r="D312" t="s">
        <v>15</v>
      </c>
      <c r="E312">
        <v>25.25</v>
      </c>
      <c r="F312">
        <v>832900</v>
      </c>
      <c r="G312" t="s">
        <v>16</v>
      </c>
      <c r="H312">
        <v>0.99009900990099009</v>
      </c>
      <c r="I312">
        <v>0</v>
      </c>
      <c r="J312">
        <v>0.99009900990099009</v>
      </c>
    </row>
    <row r="313" spans="1:10" x14ac:dyDescent="0.2">
      <c r="A313" t="s">
        <v>442</v>
      </c>
      <c r="B313" t="s">
        <v>457</v>
      </c>
      <c r="C313" t="s">
        <v>12</v>
      </c>
      <c r="D313" t="s">
        <v>13</v>
      </c>
      <c r="E313" s="17">
        <v>25.5</v>
      </c>
      <c r="F313">
        <v>3294317</v>
      </c>
      <c r="G313" t="s">
        <v>458</v>
      </c>
      <c r="H313">
        <v>0</v>
      </c>
      <c r="I313">
        <v>-0.98039215686274506</v>
      </c>
      <c r="J313">
        <v>-0.98039215686274506</v>
      </c>
    </row>
    <row r="314" spans="1:10" x14ac:dyDescent="0.2">
      <c r="A314" s="2" t="s">
        <v>442</v>
      </c>
      <c r="B314" s="2" t="s">
        <v>457</v>
      </c>
      <c r="C314" s="2" t="s">
        <v>12</v>
      </c>
      <c r="D314" s="2" t="s">
        <v>15</v>
      </c>
      <c r="E314" s="2">
        <v>25.5</v>
      </c>
      <c r="F314" s="2">
        <v>3294317</v>
      </c>
      <c r="G314" s="2" t="s">
        <v>16</v>
      </c>
      <c r="H314" s="2">
        <v>0</v>
      </c>
      <c r="I314" s="2">
        <v>-0.98039215686274506</v>
      </c>
      <c r="J314" s="2">
        <v>-0.98039215686274506</v>
      </c>
    </row>
    <row r="315" spans="1:10" x14ac:dyDescent="0.2">
      <c r="A315" t="s">
        <v>459</v>
      </c>
      <c r="B315" t="s">
        <v>460</v>
      </c>
      <c r="C315" t="s">
        <v>12</v>
      </c>
      <c r="D315" t="s">
        <v>13</v>
      </c>
      <c r="E315" s="9">
        <v>25.75</v>
      </c>
      <c r="F315">
        <v>825800</v>
      </c>
      <c r="G315" t="s">
        <v>461</v>
      </c>
      <c r="H315">
        <v>-0.97087378640776689</v>
      </c>
      <c r="I315">
        <v>0.97087378640776689</v>
      </c>
      <c r="J315">
        <v>0</v>
      </c>
    </row>
    <row r="316" spans="1:10" x14ac:dyDescent="0.2">
      <c r="A316" t="s">
        <v>459</v>
      </c>
      <c r="B316" t="s">
        <v>462</v>
      </c>
      <c r="C316" t="s">
        <v>12</v>
      </c>
      <c r="D316" t="s">
        <v>13</v>
      </c>
      <c r="E316">
        <v>26.25</v>
      </c>
      <c r="F316">
        <v>3527658</v>
      </c>
      <c r="G316" t="s">
        <v>463</v>
      </c>
      <c r="H316">
        <v>-1.9047619047619051</v>
      </c>
      <c r="I316">
        <v>-2.8571428571428572</v>
      </c>
      <c r="J316">
        <v>-2.8571428571428572</v>
      </c>
    </row>
    <row r="317" spans="1:10" x14ac:dyDescent="0.2">
      <c r="A317" t="s">
        <v>459</v>
      </c>
      <c r="B317" t="s">
        <v>462</v>
      </c>
      <c r="C317" t="s">
        <v>12</v>
      </c>
      <c r="D317" t="s">
        <v>25</v>
      </c>
      <c r="E317" s="17">
        <v>26.25</v>
      </c>
      <c r="F317">
        <v>3527658</v>
      </c>
      <c r="G317" t="s">
        <v>101</v>
      </c>
      <c r="H317">
        <v>-1.9047619047619051</v>
      </c>
      <c r="I317">
        <v>-2.8571428571428572</v>
      </c>
      <c r="J317">
        <v>-2.8571428571428572</v>
      </c>
    </row>
    <row r="318" spans="1:10" x14ac:dyDescent="0.2">
      <c r="A318" t="s">
        <v>459</v>
      </c>
      <c r="B318" t="s">
        <v>464</v>
      </c>
      <c r="C318" t="s">
        <v>12</v>
      </c>
      <c r="D318" t="s">
        <v>13</v>
      </c>
      <c r="E318">
        <v>26</v>
      </c>
      <c r="F318">
        <v>1634557</v>
      </c>
      <c r="G318" t="s">
        <v>465</v>
      </c>
      <c r="H318">
        <v>0</v>
      </c>
      <c r="I318">
        <v>0</v>
      </c>
      <c r="J318">
        <v>0.96153846153846156</v>
      </c>
    </row>
    <row r="319" spans="1:10" x14ac:dyDescent="0.2">
      <c r="A319" t="s">
        <v>459</v>
      </c>
      <c r="B319" t="s">
        <v>464</v>
      </c>
      <c r="C319" t="s">
        <v>12</v>
      </c>
      <c r="D319" t="s">
        <v>15</v>
      </c>
      <c r="E319" s="9">
        <v>26</v>
      </c>
      <c r="F319">
        <v>1634557</v>
      </c>
      <c r="G319" t="s">
        <v>16</v>
      </c>
      <c r="H319">
        <v>0</v>
      </c>
      <c r="I319">
        <v>0</v>
      </c>
      <c r="J319">
        <v>0.96153846153846156</v>
      </c>
    </row>
    <row r="320" spans="1:10" x14ac:dyDescent="0.2">
      <c r="A320" t="s">
        <v>459</v>
      </c>
      <c r="B320" t="s">
        <v>466</v>
      </c>
      <c r="C320" t="s">
        <v>12</v>
      </c>
      <c r="D320" t="s">
        <v>13</v>
      </c>
      <c r="E320">
        <v>26</v>
      </c>
      <c r="F320">
        <v>1394500</v>
      </c>
      <c r="G320" t="s">
        <v>467</v>
      </c>
      <c r="H320">
        <v>0</v>
      </c>
      <c r="I320">
        <v>0.96153846153846156</v>
      </c>
      <c r="J320" s="17">
        <v>-0.96153846153846156</v>
      </c>
    </row>
    <row r="321" spans="1:23" x14ac:dyDescent="0.2">
      <c r="A321" t="s">
        <v>459</v>
      </c>
      <c r="B321" t="s">
        <v>466</v>
      </c>
      <c r="C321" t="s">
        <v>12</v>
      </c>
      <c r="D321" t="s">
        <v>15</v>
      </c>
      <c r="E321" s="17">
        <v>26</v>
      </c>
      <c r="F321">
        <v>1394500</v>
      </c>
      <c r="G321" t="s">
        <v>16</v>
      </c>
      <c r="H321">
        <v>0</v>
      </c>
      <c r="I321">
        <v>0.96153846153846156</v>
      </c>
      <c r="J321" s="17">
        <v>-0.96153846153846156</v>
      </c>
    </row>
    <row r="322" spans="1:23" x14ac:dyDescent="0.2">
      <c r="A322" t="s">
        <v>459</v>
      </c>
      <c r="B322" t="s">
        <v>468</v>
      </c>
      <c r="C322" t="s">
        <v>12</v>
      </c>
      <c r="D322" t="s">
        <v>13</v>
      </c>
      <c r="E322">
        <v>26.25</v>
      </c>
      <c r="F322">
        <v>1257177</v>
      </c>
      <c r="G322" t="s">
        <v>469</v>
      </c>
      <c r="H322">
        <v>-0.95238095238095244</v>
      </c>
      <c r="I322">
        <v>-1.9047619047619051</v>
      </c>
      <c r="J322">
        <v>0.95238095238095244</v>
      </c>
    </row>
    <row r="323" spans="1:23" x14ac:dyDescent="0.2">
      <c r="A323" s="2" t="s">
        <v>459</v>
      </c>
      <c r="B323" s="2" t="s">
        <v>468</v>
      </c>
      <c r="C323" s="2" t="s">
        <v>12</v>
      </c>
      <c r="D323" s="2" t="s">
        <v>15</v>
      </c>
      <c r="E323" s="18">
        <v>26.25</v>
      </c>
      <c r="F323" s="2">
        <v>1257177</v>
      </c>
      <c r="G323" s="2" t="s">
        <v>16</v>
      </c>
      <c r="H323" s="2">
        <v>-0.95238095238095244</v>
      </c>
      <c r="I323" s="2">
        <v>-1.9047619047619051</v>
      </c>
      <c r="J323" s="2">
        <v>0.95238095238095244</v>
      </c>
    </row>
    <row r="324" spans="1:23" x14ac:dyDescent="0.2">
      <c r="A324" t="s">
        <v>474</v>
      </c>
      <c r="B324" t="s">
        <v>475</v>
      </c>
      <c r="C324" t="s">
        <v>12</v>
      </c>
      <c r="D324" t="s">
        <v>25</v>
      </c>
      <c r="E324" s="17">
        <v>26.5</v>
      </c>
      <c r="F324">
        <v>258605</v>
      </c>
      <c r="G324" t="s">
        <v>101</v>
      </c>
      <c r="H324">
        <v>0</v>
      </c>
      <c r="I324">
        <v>-1.8867924528301889</v>
      </c>
      <c r="J324">
        <v>-1.8867924528301889</v>
      </c>
      <c r="M324" t="s">
        <v>474</v>
      </c>
      <c r="N324" t="s">
        <v>474</v>
      </c>
      <c r="O324" t="s">
        <v>475</v>
      </c>
      <c r="P324" t="s">
        <v>12</v>
      </c>
      <c r="Q324" t="s">
        <v>25</v>
      </c>
      <c r="R324" s="17">
        <v>26.5</v>
      </c>
      <c r="S324">
        <v>258605</v>
      </c>
      <c r="T324" t="s">
        <v>101</v>
      </c>
      <c r="U324">
        <v>0</v>
      </c>
      <c r="V324">
        <v>-1.8867924528301889</v>
      </c>
      <c r="W324">
        <v>-1.8867924528301889</v>
      </c>
    </row>
    <row r="325" spans="1:23" x14ac:dyDescent="0.2">
      <c r="A325" t="s">
        <v>474</v>
      </c>
      <c r="B325" t="s">
        <v>476</v>
      </c>
      <c r="C325" t="s">
        <v>12</v>
      </c>
      <c r="D325" t="s">
        <v>13</v>
      </c>
      <c r="E325">
        <v>26</v>
      </c>
      <c r="F325">
        <v>791000</v>
      </c>
      <c r="G325" t="s">
        <v>479</v>
      </c>
      <c r="H325">
        <v>0.96153846153846156</v>
      </c>
      <c r="I325">
        <v>0</v>
      </c>
      <c r="J325">
        <v>0.96153846153846156</v>
      </c>
      <c r="M325" t="s">
        <v>474</v>
      </c>
      <c r="N325" t="s">
        <v>474</v>
      </c>
      <c r="O325" t="s">
        <v>476</v>
      </c>
      <c r="P325" t="s">
        <v>12</v>
      </c>
      <c r="Q325" t="s">
        <v>13</v>
      </c>
      <c r="R325">
        <v>26</v>
      </c>
      <c r="S325">
        <v>791000</v>
      </c>
      <c r="T325" t="s">
        <v>479</v>
      </c>
      <c r="U325">
        <v>0.96153846153846156</v>
      </c>
      <c r="V325">
        <v>0</v>
      </c>
      <c r="W325">
        <v>0.96153846153846156</v>
      </c>
    </row>
    <row r="326" spans="1:23" x14ac:dyDescent="0.2">
      <c r="A326" t="s">
        <v>474</v>
      </c>
      <c r="B326" t="s">
        <v>476</v>
      </c>
      <c r="C326" t="s">
        <v>12</v>
      </c>
      <c r="D326" t="s">
        <v>15</v>
      </c>
      <c r="E326" s="9">
        <v>26</v>
      </c>
      <c r="F326">
        <v>791000</v>
      </c>
      <c r="G326" t="s">
        <v>16</v>
      </c>
      <c r="H326">
        <v>0.96153846153846156</v>
      </c>
      <c r="I326">
        <v>0</v>
      </c>
      <c r="J326">
        <v>0.96153846153846156</v>
      </c>
      <c r="M326" t="s">
        <v>474</v>
      </c>
      <c r="N326" t="s">
        <v>474</v>
      </c>
      <c r="O326" t="s">
        <v>476</v>
      </c>
      <c r="P326" t="s">
        <v>12</v>
      </c>
      <c r="Q326" t="s">
        <v>15</v>
      </c>
      <c r="R326" s="9">
        <v>26</v>
      </c>
      <c r="S326">
        <v>791000</v>
      </c>
      <c r="T326" t="s">
        <v>16</v>
      </c>
      <c r="U326">
        <v>0.96153846153846156</v>
      </c>
      <c r="V326">
        <v>0</v>
      </c>
      <c r="W326">
        <v>0.96153846153846156</v>
      </c>
    </row>
    <row r="327" spans="1:23" x14ac:dyDescent="0.2">
      <c r="A327" t="s">
        <v>474</v>
      </c>
      <c r="B327" t="s">
        <v>477</v>
      </c>
      <c r="C327" t="s">
        <v>12</v>
      </c>
      <c r="D327" t="s">
        <v>13</v>
      </c>
      <c r="E327">
        <v>26</v>
      </c>
      <c r="F327">
        <v>1620800</v>
      </c>
      <c r="G327" t="s">
        <v>480</v>
      </c>
      <c r="H327">
        <v>0</v>
      </c>
      <c r="I327">
        <v>0.96153846153846156</v>
      </c>
      <c r="J327">
        <v>0</v>
      </c>
      <c r="M327" t="s">
        <v>474</v>
      </c>
      <c r="N327" t="s">
        <v>474</v>
      </c>
      <c r="O327" t="s">
        <v>477</v>
      </c>
      <c r="P327" t="s">
        <v>12</v>
      </c>
      <c r="Q327" t="s">
        <v>13</v>
      </c>
      <c r="R327">
        <v>26</v>
      </c>
      <c r="S327">
        <v>1620800</v>
      </c>
      <c r="T327" t="s">
        <v>480</v>
      </c>
      <c r="U327">
        <v>0</v>
      </c>
      <c r="V327">
        <v>0.96153846153846156</v>
      </c>
      <c r="W327">
        <v>0</v>
      </c>
    </row>
    <row r="328" spans="1:23" x14ac:dyDescent="0.2">
      <c r="A328" t="s">
        <v>474</v>
      </c>
      <c r="B328" t="s">
        <v>477</v>
      </c>
      <c r="C328" t="s">
        <v>12</v>
      </c>
      <c r="D328" t="s">
        <v>15</v>
      </c>
      <c r="E328">
        <v>26</v>
      </c>
      <c r="F328">
        <v>1620800</v>
      </c>
      <c r="G328" t="s">
        <v>16</v>
      </c>
      <c r="H328">
        <v>0</v>
      </c>
      <c r="I328">
        <v>0.96153846153846156</v>
      </c>
      <c r="J328">
        <v>0</v>
      </c>
      <c r="M328" t="s">
        <v>474</v>
      </c>
      <c r="N328" t="s">
        <v>474</v>
      </c>
      <c r="O328" t="s">
        <v>477</v>
      </c>
      <c r="P328" t="s">
        <v>12</v>
      </c>
      <c r="Q328" t="s">
        <v>15</v>
      </c>
      <c r="R328" s="9">
        <v>26</v>
      </c>
      <c r="S328">
        <v>1620800</v>
      </c>
      <c r="T328" t="s">
        <v>16</v>
      </c>
      <c r="U328">
        <v>0</v>
      </c>
      <c r="V328">
        <v>0.96153846153846156</v>
      </c>
      <c r="W328">
        <v>0</v>
      </c>
    </row>
    <row r="329" spans="1:23" x14ac:dyDescent="0.2">
      <c r="A329" t="s">
        <v>474</v>
      </c>
      <c r="B329" t="s">
        <v>478</v>
      </c>
      <c r="C329" t="s">
        <v>12</v>
      </c>
      <c r="D329" t="s">
        <v>13</v>
      </c>
      <c r="E329">
        <v>26</v>
      </c>
      <c r="F329">
        <v>162829</v>
      </c>
      <c r="G329" t="s">
        <v>481</v>
      </c>
      <c r="H329">
        <v>0.96153846153846156</v>
      </c>
      <c r="I329">
        <v>0</v>
      </c>
      <c r="J329">
        <v>0</v>
      </c>
      <c r="M329" t="s">
        <v>474</v>
      </c>
      <c r="N329" t="s">
        <v>474</v>
      </c>
      <c r="O329" t="s">
        <v>478</v>
      </c>
      <c r="P329" t="s">
        <v>12</v>
      </c>
      <c r="Q329" t="s">
        <v>13</v>
      </c>
      <c r="R329">
        <v>26</v>
      </c>
      <c r="S329">
        <v>162829</v>
      </c>
      <c r="T329" t="s">
        <v>481</v>
      </c>
      <c r="U329">
        <v>0.96153846153846156</v>
      </c>
      <c r="V329">
        <v>0</v>
      </c>
      <c r="W329">
        <v>0</v>
      </c>
    </row>
    <row r="330" spans="1:23" x14ac:dyDescent="0.2">
      <c r="A330" t="s">
        <v>474</v>
      </c>
      <c r="B330" t="s">
        <v>482</v>
      </c>
      <c r="C330" t="s">
        <v>12</v>
      </c>
      <c r="D330" t="s">
        <v>13</v>
      </c>
      <c r="E330">
        <v>26.25</v>
      </c>
      <c r="F330">
        <v>413600</v>
      </c>
      <c r="G330" t="s">
        <v>483</v>
      </c>
      <c r="H330">
        <v>0</v>
      </c>
      <c r="I330">
        <v>0</v>
      </c>
      <c r="J330">
        <v>0</v>
      </c>
      <c r="M330" t="s">
        <v>474</v>
      </c>
      <c r="N330" t="s">
        <v>474</v>
      </c>
      <c r="O330" t="s">
        <v>482</v>
      </c>
      <c r="P330" t="s">
        <v>12</v>
      </c>
      <c r="Q330" t="s">
        <v>13</v>
      </c>
      <c r="R330">
        <v>26.25</v>
      </c>
      <c r="S330">
        <v>413600</v>
      </c>
      <c r="T330" t="s">
        <v>483</v>
      </c>
      <c r="U330">
        <v>0</v>
      </c>
      <c r="V330">
        <v>0</v>
      </c>
      <c r="W330">
        <v>0</v>
      </c>
    </row>
    <row r="331" spans="1:23" x14ac:dyDescent="0.2">
      <c r="A331" t="s">
        <v>474</v>
      </c>
      <c r="B331" t="s">
        <v>484</v>
      </c>
      <c r="C331" t="s">
        <v>12</v>
      </c>
      <c r="D331" t="s">
        <v>13</v>
      </c>
      <c r="E331" s="17">
        <v>26.25</v>
      </c>
      <c r="F331">
        <v>180701</v>
      </c>
      <c r="G331" t="s">
        <v>485</v>
      </c>
      <c r="H331">
        <v>0</v>
      </c>
      <c r="I331">
        <v>-0.95238095238095244</v>
      </c>
      <c r="J331">
        <v>0</v>
      </c>
      <c r="M331" t="s">
        <v>474</v>
      </c>
      <c r="N331" t="s">
        <v>474</v>
      </c>
      <c r="O331" t="s">
        <v>484</v>
      </c>
      <c r="P331" t="s">
        <v>12</v>
      </c>
      <c r="Q331" t="s">
        <v>13</v>
      </c>
      <c r="R331" s="17">
        <v>26.25</v>
      </c>
      <c r="S331">
        <v>180701</v>
      </c>
      <c r="T331" t="s">
        <v>485</v>
      </c>
      <c r="U331">
        <v>0</v>
      </c>
      <c r="V331">
        <v>-0.95238095238095244</v>
      </c>
      <c r="W331">
        <v>0</v>
      </c>
    </row>
    <row r="332" spans="1:23" x14ac:dyDescent="0.2">
      <c r="A332" t="s">
        <v>474</v>
      </c>
      <c r="B332" t="s">
        <v>484</v>
      </c>
      <c r="C332" t="s">
        <v>12</v>
      </c>
      <c r="D332" t="s">
        <v>15</v>
      </c>
      <c r="E332">
        <v>26.25</v>
      </c>
      <c r="F332">
        <v>180701</v>
      </c>
      <c r="G332" t="s">
        <v>16</v>
      </c>
      <c r="H332">
        <v>0</v>
      </c>
      <c r="I332">
        <v>-0.95238095238095244</v>
      </c>
      <c r="J332">
        <v>0</v>
      </c>
      <c r="M332" t="s">
        <v>474</v>
      </c>
      <c r="N332" t="s">
        <v>474</v>
      </c>
      <c r="O332" t="s">
        <v>484</v>
      </c>
      <c r="P332" t="s">
        <v>12</v>
      </c>
      <c r="Q332" t="s">
        <v>15</v>
      </c>
      <c r="R332">
        <v>26.25</v>
      </c>
      <c r="S332">
        <v>180701</v>
      </c>
      <c r="T332" t="s">
        <v>16</v>
      </c>
      <c r="U332">
        <v>0</v>
      </c>
      <c r="V332">
        <v>-0.95238095238095244</v>
      </c>
      <c r="W332">
        <v>0</v>
      </c>
    </row>
    <row r="333" spans="1:23" x14ac:dyDescent="0.2">
      <c r="A333" t="s">
        <v>474</v>
      </c>
      <c r="B333" t="s">
        <v>486</v>
      </c>
      <c r="C333" t="s">
        <v>12</v>
      </c>
      <c r="D333" t="s">
        <v>13</v>
      </c>
      <c r="E333" s="9">
        <v>26</v>
      </c>
      <c r="F333">
        <v>902600</v>
      </c>
      <c r="G333" t="s">
        <v>487</v>
      </c>
      <c r="H333">
        <v>0</v>
      </c>
      <c r="I333" s="9">
        <v>0.96153846153846156</v>
      </c>
      <c r="J333" s="17">
        <v>-0.96153846153846156</v>
      </c>
      <c r="M333" t="s">
        <v>474</v>
      </c>
      <c r="N333" t="s">
        <v>474</v>
      </c>
      <c r="O333" t="s">
        <v>486</v>
      </c>
      <c r="P333" t="s">
        <v>12</v>
      </c>
      <c r="Q333" t="s">
        <v>13</v>
      </c>
      <c r="R333" s="9">
        <v>26</v>
      </c>
      <c r="S333">
        <v>902600</v>
      </c>
      <c r="T333" t="s">
        <v>487</v>
      </c>
      <c r="U333">
        <v>0</v>
      </c>
      <c r="V333">
        <v>0.96153846153846156</v>
      </c>
    </row>
    <row r="334" spans="1:23" x14ac:dyDescent="0.2">
      <c r="A334" t="s">
        <v>474</v>
      </c>
      <c r="B334" t="s">
        <v>488</v>
      </c>
      <c r="C334" t="s">
        <v>12</v>
      </c>
      <c r="D334" t="s">
        <v>13</v>
      </c>
      <c r="E334">
        <v>26.25</v>
      </c>
      <c r="F334">
        <v>2001303</v>
      </c>
      <c r="G334" t="s">
        <v>489</v>
      </c>
      <c r="H334">
        <v>-1.9047619047619051</v>
      </c>
      <c r="I334">
        <v>-1.9047619047619051</v>
      </c>
      <c r="J334">
        <v>-0.95238095238095244</v>
      </c>
      <c r="M334" t="s">
        <v>474</v>
      </c>
      <c r="N334" t="s">
        <v>474</v>
      </c>
      <c r="O334" t="s">
        <v>488</v>
      </c>
      <c r="P334" t="s">
        <v>12</v>
      </c>
      <c r="Q334" t="s">
        <v>13</v>
      </c>
      <c r="R334">
        <v>26.25</v>
      </c>
      <c r="S334">
        <v>2001303</v>
      </c>
      <c r="T334" t="s">
        <v>489</v>
      </c>
    </row>
    <row r="335" spans="1:23" x14ac:dyDescent="0.2">
      <c r="A335" s="2" t="s">
        <v>474</v>
      </c>
      <c r="B335" s="2" t="s">
        <v>488</v>
      </c>
      <c r="C335" s="2" t="s">
        <v>12</v>
      </c>
      <c r="D335" s="2" t="s">
        <v>15</v>
      </c>
      <c r="E335" s="18">
        <v>26.25</v>
      </c>
      <c r="F335" s="2">
        <v>2001303</v>
      </c>
      <c r="G335" s="2" t="s">
        <v>16</v>
      </c>
      <c r="H335" s="2">
        <v>-1.9047619047619051</v>
      </c>
      <c r="I335" s="2">
        <v>-1.9047619047619051</v>
      </c>
      <c r="J335" s="2">
        <v>-0.95238095238095244</v>
      </c>
      <c r="M335" s="2" t="s">
        <v>474</v>
      </c>
      <c r="N335" s="2" t="s">
        <v>474</v>
      </c>
      <c r="O335" s="2" t="s">
        <v>488</v>
      </c>
      <c r="P335" s="2" t="s">
        <v>12</v>
      </c>
      <c r="Q335" s="2" t="s">
        <v>15</v>
      </c>
      <c r="R335" s="2">
        <v>26.25</v>
      </c>
      <c r="S335" s="2">
        <v>2001303</v>
      </c>
      <c r="T335" s="2" t="s">
        <v>16</v>
      </c>
      <c r="U335" s="2"/>
      <c r="V335" s="2"/>
      <c r="W335" s="2"/>
    </row>
    <row r="336" spans="1:23" x14ac:dyDescent="0.2">
      <c r="A336" t="s">
        <v>490</v>
      </c>
      <c r="B336" t="s">
        <v>491</v>
      </c>
      <c r="C336" t="s">
        <v>12</v>
      </c>
      <c r="D336" t="s">
        <v>13</v>
      </c>
      <c r="E336">
        <v>25.75</v>
      </c>
      <c r="F336">
        <v>655032</v>
      </c>
      <c r="G336" t="s">
        <v>494</v>
      </c>
      <c r="H336">
        <v>0</v>
      </c>
      <c r="I336">
        <v>0</v>
      </c>
      <c r="J336">
        <v>0</v>
      </c>
    </row>
    <row r="337" spans="1:10" x14ac:dyDescent="0.2">
      <c r="A337" t="s">
        <v>490</v>
      </c>
      <c r="B337" t="s">
        <v>492</v>
      </c>
      <c r="C337" t="s">
        <v>12</v>
      </c>
      <c r="D337" t="s">
        <v>13</v>
      </c>
      <c r="E337" s="9">
        <v>25.5</v>
      </c>
      <c r="F337">
        <v>1901210</v>
      </c>
      <c r="G337" t="s">
        <v>495</v>
      </c>
      <c r="H337">
        <v>0.98039215686274506</v>
      </c>
      <c r="I337">
        <v>0.98039215686274506</v>
      </c>
      <c r="J337">
        <v>0.98039215686274506</v>
      </c>
    </row>
    <row r="338" spans="1:10" x14ac:dyDescent="0.2">
      <c r="A338" t="s">
        <v>490</v>
      </c>
      <c r="B338" t="s">
        <v>493</v>
      </c>
      <c r="C338" t="s">
        <v>12</v>
      </c>
      <c r="D338" t="s">
        <v>13</v>
      </c>
      <c r="E338">
        <v>25.75</v>
      </c>
      <c r="F338">
        <v>789652</v>
      </c>
      <c r="G338" t="s">
        <v>496</v>
      </c>
      <c r="H338">
        <v>0.97087378640776689</v>
      </c>
      <c r="I338">
        <v>0</v>
      </c>
      <c r="J338">
        <v>0</v>
      </c>
    </row>
    <row r="339" spans="1:10" x14ac:dyDescent="0.2">
      <c r="A339" t="s">
        <v>490</v>
      </c>
      <c r="B339" t="s">
        <v>493</v>
      </c>
      <c r="C339" t="s">
        <v>12</v>
      </c>
      <c r="D339" t="s">
        <v>15</v>
      </c>
      <c r="E339" s="9">
        <v>25.75</v>
      </c>
      <c r="F339">
        <v>789652</v>
      </c>
      <c r="G339" t="s">
        <v>16</v>
      </c>
      <c r="H339">
        <v>0.97087378640776689</v>
      </c>
      <c r="I339">
        <v>0</v>
      </c>
      <c r="J339">
        <v>0</v>
      </c>
    </row>
    <row r="340" spans="1:10" x14ac:dyDescent="0.2">
      <c r="A340" t="s">
        <v>490</v>
      </c>
      <c r="B340" t="s">
        <v>497</v>
      </c>
      <c r="C340" t="s">
        <v>12</v>
      </c>
      <c r="D340" t="s">
        <v>13</v>
      </c>
      <c r="E340">
        <v>26</v>
      </c>
      <c r="F340">
        <v>1357204</v>
      </c>
      <c r="G340" t="s">
        <v>498</v>
      </c>
      <c r="H340">
        <v>0</v>
      </c>
      <c r="I340">
        <v>-0.96153846153846156</v>
      </c>
    </row>
    <row r="341" spans="1:10" x14ac:dyDescent="0.2">
      <c r="A341" s="2" t="s">
        <v>490</v>
      </c>
      <c r="B341" s="2" t="s">
        <v>499</v>
      </c>
      <c r="C341" s="2" t="s">
        <v>12</v>
      </c>
      <c r="D341" s="2" t="s">
        <v>13</v>
      </c>
      <c r="E341" s="18">
        <v>26</v>
      </c>
      <c r="F341" s="2">
        <v>930958</v>
      </c>
      <c r="G341" s="2" t="s">
        <v>500</v>
      </c>
      <c r="H341" s="2">
        <v>-0.96153846153846156</v>
      </c>
      <c r="I341" s="2"/>
      <c r="J341" s="2"/>
    </row>
  </sheetData>
  <autoFilter ref="A1:J323" xr:uid="{00000000-0001-0000-0000-000000000000}"/>
  <conditionalFormatting sqref="H2:J400">
    <cfRule type="cellIs" dxfId="3" priority="3" operator="lessThanOrEqual">
      <formula>-1</formula>
    </cfRule>
    <cfRule type="cellIs" dxfId="2" priority="4" operator="greaterThanOrEqual">
      <formula>1</formula>
    </cfRule>
  </conditionalFormatting>
  <conditionalFormatting sqref="U324:W335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0.20434101747169939</v>
      </c>
      <c r="C2">
        <v>0.12802134301285409</v>
      </c>
      <c r="D2">
        <v>0.2304952004879974</v>
      </c>
    </row>
    <row r="3" spans="1:4" x14ac:dyDescent="0.2">
      <c r="A3" t="s">
        <v>25</v>
      </c>
      <c r="B3">
        <v>-8.5976083415025592E-2</v>
      </c>
      <c r="C3">
        <v>6.8077620783974446E-2</v>
      </c>
      <c r="D3">
        <v>0.17553263861730081</v>
      </c>
    </row>
    <row r="4" spans="1:4" x14ac:dyDescent="0.2">
      <c r="A4" t="s">
        <v>13</v>
      </c>
      <c r="B4">
        <v>0.13428806327918291</v>
      </c>
      <c r="C4">
        <v>0.1107051725454346</v>
      </c>
      <c r="D4">
        <v>0.2403962946619019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0.20434101747169939</v>
      </c>
      <c r="D2">
        <v>0.12802134301285409</v>
      </c>
      <c r="E2">
        <v>0.2304952004879974</v>
      </c>
    </row>
    <row r="3" spans="1:5" x14ac:dyDescent="0.2">
      <c r="A3" t="s">
        <v>12</v>
      </c>
      <c r="B3" t="s">
        <v>25</v>
      </c>
      <c r="C3">
        <v>-8.5976083415025592E-2</v>
      </c>
      <c r="D3">
        <v>6.8077620783974446E-2</v>
      </c>
      <c r="E3">
        <v>0.17553263861730081</v>
      </c>
    </row>
    <row r="4" spans="1:5" x14ac:dyDescent="0.2">
      <c r="A4" t="s">
        <v>12</v>
      </c>
      <c r="B4" t="s">
        <v>13</v>
      </c>
      <c r="C4">
        <v>0.13428806327918291</v>
      </c>
      <c r="D4">
        <v>0.1107051725454346</v>
      </c>
      <c r="E4">
        <v>0.2403962946619019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2025-09-26T10:03:01Z</dcterms:created>
  <dcterms:modified xsi:type="dcterms:W3CDTF">2025-09-30T13:37:31Z</dcterms:modified>
</cp:coreProperties>
</file>