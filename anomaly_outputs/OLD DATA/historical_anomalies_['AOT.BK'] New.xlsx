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64B5B5F-5BF4-48B7-853D-E65A12E503F9}" xr6:coauthVersionLast="47" xr6:coauthVersionMax="47" xr10:uidLastSave="{00000000-0000-0000-0000-000000000000}"/>
  <bookViews>
    <workbookView xWindow="720" yWindow="25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1" i="1" l="1"/>
  <c r="O152" i="1"/>
  <c r="O9" i="1"/>
  <c r="O131" i="1" l="1"/>
  <c r="O375" i="1"/>
  <c r="O323" i="1"/>
  <c r="O300" i="1"/>
  <c r="O280" i="1"/>
  <c r="O193" i="1"/>
  <c r="O173" i="1"/>
  <c r="O110" i="1"/>
  <c r="O99" i="1"/>
  <c r="O82" i="1"/>
  <c r="O60" i="1"/>
  <c r="O37" i="1"/>
  <c r="O18" i="1"/>
</calcChain>
</file>

<file path=xl/sharedStrings.xml><?xml version="1.0" encoding="utf-8"?>
<sst xmlns="http://schemas.openxmlformats.org/spreadsheetml/2006/main" count="2618" uniqueCount="718">
  <si>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</si>
  <si>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</si>
  <si>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</si>
  <si>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</si>
  <si>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</si>
  <si>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</si>
  <si>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</si>
  <si>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</si>
  <si>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</si>
  <si>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</si>
  <si>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2025-07-23</t>
  </si>
  <si>
    <t>2025-07-23 14:00</t>
  </si>
  <si>
    <t>AOT.BK</t>
  </si>
  <si>
    <t>VOLUME_SPIKE</t>
  </si>
  <si>
    <t>Vol 2,313,545 &gt; 3.0×avg(20) ~ 345,692</t>
  </si>
  <si>
    <t>PRICE_VOLUME_DIVERGENCE</t>
  </si>
  <si>
    <t>|ret| 0.0000% &lt; 0.15% + volume spike</t>
  </si>
  <si>
    <t>2025-07-23 14:05</t>
  </si>
  <si>
    <t>Vol 2,143,102 &gt; 3.0×avg(20) ~ 449,157</t>
  </si>
  <si>
    <t>2025-07-23 14:50</t>
  </si>
  <si>
    <t>Vol 1,709,363 &gt; 3.0×avg(20) ~ 455,947</t>
  </si>
  <si>
    <t>2025-07-24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</si>
  <si>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</si>
  <si>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</si>
  <si>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</si>
  <si>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</si>
  <si>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</si>
  <si>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</si>
  <si>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</si>
  <si>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</si>
  <si>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</si>
  <si>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</si>
  <si>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</si>
  <si>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</si>
  <si>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</si>
  <si>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VOLATILITY_BREAK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</si>
  <si>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</si>
  <si>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</si>
  <si>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</si>
  <si>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</si>
  <si>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</si>
  <si>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</si>
  <si>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</si>
  <si>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</si>
  <si>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</si>
  <si>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</si>
  <si>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</si>
  <si>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</si>
  <si>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</si>
  <si>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</si>
  <si>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</si>
  <si>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</si>
  <si>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</si>
  <si>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TR 1.0000 &gt; 2.0×ATR(20) 0.3875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</si>
  <si>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</si>
  <si>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</si>
  <si>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</si>
  <si>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</si>
  <si>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</si>
  <si>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</si>
  <si>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</si>
  <si>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</si>
  <si>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</si>
  <si>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</si>
  <si>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</si>
  <si>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</si>
  <si>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</si>
  <si>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</si>
  <si>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</si>
  <si>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</si>
  <si>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</si>
  <si>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</si>
  <si>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</si>
  <si>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</si>
  <si>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</si>
  <si>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</si>
  <si>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</si>
  <si>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</si>
  <si>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</si>
  <si>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</si>
  <si>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</si>
  <si>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</si>
  <si>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</si>
  <si>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</si>
  <si>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</si>
  <si>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</si>
  <si>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</si>
  <si>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</si>
  <si>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</si>
  <si>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</si>
  <si>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</si>
  <si>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</si>
  <si>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</si>
  <si>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</si>
  <si>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</si>
  <si>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</si>
  <si>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</si>
  <si>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</si>
  <si>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</si>
  <si>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</si>
  <si>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</si>
  <si>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</si>
  <si>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</si>
  <si>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</si>
  <si>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</si>
  <si>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</si>
  <si>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</si>
  <si>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</si>
  <si>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</si>
  <si>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</si>
  <si>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</si>
  <si>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</si>
  <si>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</si>
  <si>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</si>
  <si>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</si>
  <si>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</si>
  <si>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</si>
  <si>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</si>
  <si>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</si>
  <si>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</si>
  <si>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</si>
  <si>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</si>
  <si>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</si>
  <si>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</si>
  <si>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</si>
  <si>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</si>
  <si>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</si>
  <si>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</si>
  <si>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</si>
  <si>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</si>
  <si>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</si>
  <si>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</si>
  <si>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</si>
  <si>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</si>
  <si>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</si>
  <si>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</si>
  <si>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</si>
  <si>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</si>
  <si>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</si>
  <si>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</si>
  <si>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</si>
  <si>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</si>
  <si>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</si>
  <si>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</si>
  <si>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</si>
  <si>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</si>
  <si>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</si>
  <si>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</si>
  <si>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</si>
  <si>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</si>
  <si>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</si>
  <si>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</si>
  <si>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</si>
  <si>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</si>
  <si>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</si>
  <si>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</si>
  <si>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</si>
  <si>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</si>
  <si>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</si>
  <si>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</si>
  <si>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</si>
  <si>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</si>
  <si>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</si>
  <si>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</si>
  <si>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</si>
  <si>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</si>
  <si>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</si>
  <si>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</si>
  <si>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</si>
  <si>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</si>
  <si>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</si>
  <si>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</si>
  <si>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</si>
  <si>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</si>
  <si>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</si>
  <si>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</si>
  <si>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</si>
  <si>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</si>
  <si>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</si>
  <si>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</si>
  <si>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</si>
  <si>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</si>
  <si>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</si>
  <si>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</si>
  <si>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</si>
  <si>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</si>
  <si>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</si>
  <si>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</si>
  <si>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</si>
  <si>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</si>
  <si>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</si>
  <si>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</si>
  <si>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</si>
  <si>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</si>
  <si>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</si>
  <si>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</si>
  <si>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</si>
  <si>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</si>
  <si>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</si>
  <si>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</si>
  <si>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</si>
  <si>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</si>
  <si>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</si>
  <si>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</si>
  <si>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</si>
  <si>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</si>
  <si>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</si>
  <si>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</si>
  <si>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</si>
  <si>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</si>
  <si>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</si>
  <si>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</si>
  <si>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</si>
  <si>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</si>
  <si>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</si>
  <si>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</si>
  <si>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</si>
  <si>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</si>
  <si>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</si>
  <si>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</si>
  <si>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</si>
  <si>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</si>
  <si>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</si>
  <si>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</si>
  <si>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</si>
  <si>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</si>
  <si>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</si>
  <si>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</si>
  <si>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</si>
  <si>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</si>
  <si>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</si>
  <si>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</si>
  <si>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</si>
  <si>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</si>
  <si>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</si>
  <si>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</si>
  <si>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</si>
  <si>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</t>
  </si>
  <si>
    <t>2025-08-15 10:00</t>
  </si>
  <si>
    <t>TR 0.7500 &gt; 2.0×ATR(20) 0.3125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</si>
  <si>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</si>
  <si>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</si>
  <si>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</si>
  <si>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</si>
  <si>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</si>
  <si>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</si>
  <si>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</si>
  <si>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</si>
  <si>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</si>
  <si>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</si>
  <si>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</si>
  <si>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</si>
  <si>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</si>
  <si>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</si>
  <si>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</si>
  <si>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</si>
  <si>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</si>
  <si>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</si>
  <si>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</si>
  <si>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</si>
  <si>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</si>
  <si>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</si>
  <si>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</si>
  <si>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</si>
  <si>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</si>
  <si>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</si>
  <si>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</si>
  <si>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</si>
  <si>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</si>
  <si>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</si>
  <si>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</si>
  <si>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</si>
  <si>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</si>
  <si>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</si>
  <si>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</si>
  <si>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</si>
  <si>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</si>
  <si>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</si>
  <si>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</si>
  <si>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</si>
  <si>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</si>
  <si>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</si>
  <si>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</si>
  <si>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</si>
  <si>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</si>
  <si>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</si>
  <si>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</si>
  <si>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</si>
  <si>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</si>
  <si>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</si>
  <si>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</si>
  <si>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</si>
  <si>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</si>
  <si>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</si>
  <si>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</si>
  <si>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</si>
  <si>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</si>
  <si>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</si>
  <si>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</si>
  <si>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</si>
  <si>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</si>
  <si>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</si>
  <si>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</si>
  <si>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</si>
  <si>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</si>
  <si>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</si>
  <si>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</si>
  <si>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</si>
  <si>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</si>
  <si>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</si>
  <si>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</si>
  <si>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</si>
  <si>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</si>
  <si>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</si>
  <si>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</si>
  <si>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</si>
  <si>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</si>
  <si>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</si>
  <si>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</si>
  <si>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</si>
  <si>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</si>
  <si>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</si>
  <si>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</si>
  <si>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</si>
  <si>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</si>
  <si>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</si>
  <si>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</si>
  <si>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</si>
  <si>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</si>
  <si>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</si>
  <si>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</si>
  <si>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</si>
  <si>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</si>
  <si>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</si>
  <si>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</si>
  <si>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</si>
  <si>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</si>
  <si>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</si>
  <si>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</si>
  <si>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</si>
  <si>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</si>
  <si>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</si>
  <si>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</si>
  <si>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</si>
  <si>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</si>
  <si>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</si>
  <si>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</si>
  <si>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</si>
  <si>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</si>
  <si>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</si>
  <si>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</si>
  <si>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</si>
  <si>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</si>
  <si>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</si>
  <si>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</si>
  <si>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</si>
  <si>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</si>
  <si>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</si>
  <si>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</si>
  <si>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</si>
  <si>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</si>
  <si>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</si>
  <si>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</si>
  <si>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</si>
  <si>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</si>
  <si>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</si>
  <si>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</si>
  <si>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</si>
  <si>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</si>
  <si>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</si>
  <si>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</si>
  <si>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</si>
  <si>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</si>
  <si>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</si>
  <si>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</si>
  <si>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</si>
  <si>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</si>
  <si>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</si>
  <si>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</si>
  <si>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</si>
  <si>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</si>
  <si>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</si>
  <si>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</si>
  <si>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</si>
  <si>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</si>
  <si>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</si>
  <si>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</si>
  <si>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</si>
  <si>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</si>
  <si>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</si>
  <si>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</si>
  <si>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</si>
  <si>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</si>
  <si>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</si>
  <si>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</si>
  <si>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</si>
  <si>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</si>
  <si>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</si>
  <si>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</si>
  <si>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</si>
  <si>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</si>
  <si>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</si>
  <si>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</si>
  <si>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</si>
  <si>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</si>
  <si>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</si>
  <si>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</si>
  <si>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</si>
  <si>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</si>
  <si>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</si>
  <si>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</si>
  <si>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</si>
  <si>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</si>
  <si>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</si>
  <si>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</si>
  <si>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</si>
  <si>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</si>
  <si>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</si>
  <si>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</si>
  <si>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</si>
  <si>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</si>
  <si>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</si>
  <si>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</si>
  <si>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</si>
  <si>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</si>
  <si>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</si>
  <si>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</si>
  <si>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</si>
  <si>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</si>
  <si>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</si>
  <si>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</si>
  <si>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</si>
  <si>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</si>
  <si>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</si>
  <si>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</si>
  <si>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</si>
  <si>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</si>
  <si>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</si>
  <si>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</si>
  <si>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</si>
  <si>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</si>
  <si>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</si>
  <si>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</si>
  <si>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</si>
  <si>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</si>
  <si>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</si>
  <si>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</si>
  <si>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</si>
  <si>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</si>
  <si>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</si>
  <si>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</si>
  <si>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</si>
  <si>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</si>
  <si>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</si>
  <si>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</si>
  <si>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</si>
  <si>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</si>
  <si>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</si>
  <si>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</si>
  <si>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</si>
  <si>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</si>
  <si>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</si>
  <si>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</si>
  <si>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</si>
  <si>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</si>
  <si>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</si>
  <si>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</si>
  <si>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</si>
  <si>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</si>
  <si>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</si>
  <si>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</si>
  <si>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</si>
  <si>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</si>
  <si>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</si>
  <si>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</si>
  <si>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</si>
  <si>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</si>
  <si>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</si>
  <si>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</si>
  <si>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</si>
  <si>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</si>
  <si>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</si>
  <si>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</si>
  <si>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</si>
  <si>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</si>
  <si>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</si>
  <si>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</si>
  <si>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</si>
  <si>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</si>
  <si>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</si>
  <si>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</si>
  <si>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</si>
  <si>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</si>
  <si>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</si>
  <si>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</si>
  <si>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</si>
  <si>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</si>
  <si>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</si>
  <si>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</si>
  <si>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</si>
  <si>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</si>
  <si>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</si>
  <si>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</si>
  <si>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</si>
  <si>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11:10</t>
  </si>
  <si>
    <t>2025-09-11 11:20</t>
  </si>
  <si>
    <t>2025-09-11 11:25</t>
  </si>
  <si>
    <t>2025-09-11 10:25</t>
  </si>
  <si>
    <t>Vol 117,212 &gt; 3.0×avg(20) ~ 38,744</t>
  </si>
  <si>
    <t>2025-09-11 10:30</t>
  </si>
  <si>
    <t>Vol 232,100 &gt; 3.0×avg(20) ~ 50,201</t>
  </si>
  <si>
    <t>Vol 3,588,955 &gt; 3.0×avg(20) ~ 254,758</t>
  </si>
  <si>
    <t>Vol 1,450,297 &gt; 3.0×avg(20) ~ 329,268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</si>
  <si>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</si>
  <si>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</si>
  <si>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</si>
  <si>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</si>
  <si>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</si>
  <si>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</si>
  <si>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</si>
  <si>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</si>
  <si>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</si>
  <si>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</si>
  <si>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</si>
  <si>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</si>
  <si>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</si>
  <si>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</si>
  <si>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</si>
  <si>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</si>
  <si>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</si>
  <si>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</si>
  <si>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</si>
  <si>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</si>
  <si>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</si>
  <si>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</si>
  <si>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</si>
  <si>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</si>
  <si>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</si>
  <si>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</si>
  <si>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</si>
  <si>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</si>
  <si>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</si>
  <si>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</si>
  <si>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</si>
  <si>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</si>
  <si>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</si>
  <si>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</si>
  <si>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</si>
  <si>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</si>
  <si>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</si>
  <si>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</si>
  <si>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</si>
  <si>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</si>
  <si>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</si>
  <si>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</si>
  <si>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</si>
  <si>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</si>
  <si>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</si>
  <si>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</si>
  <si>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</si>
  <si>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</si>
  <si>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</si>
  <si>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</si>
  <si>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</si>
  <si>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</si>
  <si>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</si>
  <si>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</si>
  <si>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</si>
  <si>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</si>
  <si>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</si>
  <si>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</si>
  <si>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</si>
  <si>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</si>
  <si>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</si>
  <si>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</si>
  <si>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</si>
  <si>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</si>
  <si>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</si>
  <si>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</si>
  <si>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</si>
  <si>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</si>
  <si>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</si>
  <si>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</si>
  <si>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</si>
  <si>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</si>
  <si>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</si>
  <si>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</si>
  <si>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</si>
  <si>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</si>
  <si>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</si>
  <si>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</si>
  <si>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</si>
  <si>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</si>
  <si>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</si>
  <si>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</si>
  <si>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</si>
  <si>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</si>
  <si>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</si>
  <si>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</si>
  <si>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</si>
  <si>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</si>
  <si>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</si>
  <si>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</si>
  <si>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</si>
  <si>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</si>
  <si>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</si>
  <si>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</si>
  <si>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</si>
  <si>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</si>
  <si>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</si>
  <si>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</si>
  <si>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</si>
  <si>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</si>
  <si>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</si>
  <si>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</si>
  <si>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</si>
  <si>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</si>
  <si>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</si>
  <si>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</si>
  <si>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</si>
  <si>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</si>
  <si>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</si>
  <si>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</si>
  <si>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</si>
  <si>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</si>
  <si>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</si>
  <si>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</si>
  <si>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</si>
  <si>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</si>
  <si>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</si>
  <si>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</si>
  <si>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</si>
  <si>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</si>
  <si>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</si>
  <si>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</si>
  <si>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</si>
  <si>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</si>
  <si>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</si>
  <si>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</si>
  <si>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</si>
  <si>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</si>
  <si>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</si>
  <si>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</si>
  <si>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</si>
  <si>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</si>
  <si>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</si>
  <si>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</si>
  <si>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</si>
  <si>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</si>
  <si>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</si>
  <si>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</si>
  <si>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</si>
  <si>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</si>
  <si>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</si>
  <si>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</si>
  <si>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</si>
  <si>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</si>
  <si>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</si>
  <si>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</si>
  <si>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</si>
  <si>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</si>
  <si>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</si>
  <si>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</si>
  <si>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</si>
  <si>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</si>
  <si>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</si>
  <si>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</si>
  <si>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</si>
  <si>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</si>
  <si>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</si>
  <si>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</si>
  <si>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</si>
  <si>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</si>
  <si>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</si>
  <si>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</si>
  <si>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</si>
  <si>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</si>
  <si>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</si>
  <si>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</si>
  <si>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</si>
  <si>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</si>
  <si>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</si>
  <si>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</si>
  <si>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</si>
  <si>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</si>
  <si>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</si>
  <si>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</si>
  <si>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</si>
  <si>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</si>
  <si>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</si>
  <si>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</si>
  <si>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</si>
  <si>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</si>
  <si>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2025-09-29 14:00</t>
  </si>
  <si>
    <t>Vol 1,079,079 &gt; 3.0×avg(20) ~ 107,507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</si>
  <si>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</si>
  <si>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</si>
  <si>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</si>
  <si>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</si>
  <si>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</si>
  <si>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</si>
  <si>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</si>
  <si>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</si>
  <si>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377,610</t>
  </si>
  <si>
    <t>Vol 2,844,805 &gt; 3.0×avg(20) ~ 377,570</t>
  </si>
  <si>
    <t>2025-09-30</t>
  </si>
  <si>
    <t>2025-09-30 10:00</t>
  </si>
  <si>
    <t>TR 1.0000 &gt; 2.0×ATR(20) 0.2875</t>
  </si>
  <si>
    <t>2025-09-30 10:05</t>
  </si>
  <si>
    <t>2025-09-30 11:05</t>
  </si>
  <si>
    <t>2025-09-30 12:20</t>
  </si>
  <si>
    <t>2025-09-30 15:35</t>
  </si>
  <si>
    <t>Vol 4,450,559 &gt; 3.0×avg(20) ~ 616,007</t>
  </si>
  <si>
    <t>Vol 3,372,209 &gt; 3.0×avg(20) ~ 823,370</t>
  </si>
  <si>
    <t>Vol 4,551,614 &gt; 3.0×avg(20) ~ 481,733</t>
  </si>
  <si>
    <t>Vol 505,601 &gt; 3.0×avg(20) ~ 128,249</t>
  </si>
  <si>
    <t>2025-09-30 16:05</t>
  </si>
  <si>
    <t>Vol 354,403 &gt; 3.0×avg(20) ~ 112,304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</si>
</sst>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9" fontId="7" fillId="0" borderId="0" applyFont="0" applyFill="0" applyBorder="0" applyAlignment="0" applyProtection="0"/>
    <xf numFmtId="0" fontId="9" fillId="4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2" borderId="0" xfId="0" applyFill="1"/>
    <xf numFmtId="0" fontId="3" fillId="3" borderId="0" xfId="1"/>
    <xf numFmtId="0" fontId="5" fillId="0" borderId="0" xfId="0" applyFont="1"/>
    <xf numFmtId="0" fontId="4" fillId="0" borderId="0" xfId="0" applyFont="1"/>
    <xf numFmtId="0" fontId="0" fillId="0" borderId="4" xfId="0" applyBorder="1"/>
    <xf numFmtId="0" fontId="2" fillId="0" borderId="0" xfId="0" applyFont="1" applyAlignment="1">
      <alignment horizontal="center"/>
    </xf>
    <xf numFmtId="9" fontId="2" fillId="0" borderId="0" xfId="2" applyFont="1"/>
    <xf numFmtId="0" fontId="0" fillId="2" borderId="3" xfId="0" applyFill="1" applyBorder="1"/>
    <xf numFmtId="0" fontId="3" fillId="3" borderId="3" xfId="1" applyBorder="1"/>
    <xf numFmtId="0" fontId="6" fillId="2" borderId="3" xfId="0" applyFont="1" applyFill="1" applyBorder="1"/>
    <xf numFmtId="0" fontId="0" fillId="2" borderId="4" xfId="0" applyFill="1" applyBorder="1"/>
    <xf numFmtId="0" fontId="8" fillId="2" borderId="0" xfId="1" applyFont="1" applyFill="1"/>
    <xf numFmtId="0" fontId="3" fillId="3" borderId="4" xfId="1" applyBorder="1"/>
    <xf numFmtId="0" fontId="9" fillId="4" borderId="0" xfId="3"/>
    <xf numFmtId="0" fontId="0" fillId="0" borderId="0" xfId="0" applyFill="1"/>
    <xf numFmtId="0" fontId="0" fillId="0" borderId="4" xfId="0" applyFill="1" applyBorder="1"/>
  </cellXfs>
  <cellStyles count="4">
    <cellStyle name="Bad" xfId="1" builtinId="27"/>
    <cellStyle name="Good" xfId="3" builtinId="26"/>
    <cellStyle name="Normal" xfId="0" builtinId="0"/>
    <cellStyle name="Percent" xfId="2" builtinId="5"/>
  </cellStyles>
  <dxfs count="8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events!$B$218:$B$346</c:f>
              <c:strCache>
                <c:ptCount val="129"/>
                <c:pt idx="0">
                  <c:v>2025-08-25 10:00</c:v>
                </c:pt>
                <c:pt idx="1">
                  <c:v>2025-08-25 10:00</c:v>
                </c:pt>
                <c:pt idx="2">
                  <c:v>2025-08-25 10:10</c:v>
                </c:pt>
                <c:pt idx="3">
                  <c:v>2025-08-25 10:10</c:v>
                </c:pt>
                <c:pt idx="4">
                  <c:v>2025-08-25 12:20</c:v>
                </c:pt>
                <c:pt idx="5">
                  <c:v>2025-08-25 12:20</c:v>
                </c:pt>
                <c:pt idx="6">
                  <c:v>2025-08-25 12:20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15:10</c:v>
                </c:pt>
                <c:pt idx="10">
                  <c:v>2025-08-26 10:05</c:v>
                </c:pt>
                <c:pt idx="11">
                  <c:v>2025-08-26 10:05</c:v>
                </c:pt>
                <c:pt idx="12">
                  <c:v>2025-08-26 10:25</c:v>
                </c:pt>
                <c:pt idx="13">
                  <c:v>2025-08-26 10:40</c:v>
                </c:pt>
                <c:pt idx="14">
                  <c:v>2025-08-26 10:40</c:v>
                </c:pt>
                <c:pt idx="15">
                  <c:v>2025-08-26 14:10</c:v>
                </c:pt>
                <c:pt idx="16">
                  <c:v>2025-08-26 14:10</c:v>
                </c:pt>
                <c:pt idx="17">
                  <c:v>2025-08-26 14:30</c:v>
                </c:pt>
                <c:pt idx="18">
                  <c:v>2025-08-26 14:30</c:v>
                </c:pt>
                <c:pt idx="19">
                  <c:v>2025-08-26 14:40</c:v>
                </c:pt>
                <c:pt idx="20">
                  <c:v>2025-08-27 10:35</c:v>
                </c:pt>
                <c:pt idx="21">
                  <c:v>2025-08-27 10:55</c:v>
                </c:pt>
                <c:pt idx="22">
                  <c:v>2025-08-27 11:05</c:v>
                </c:pt>
                <c:pt idx="23">
                  <c:v>2025-08-27 14:05</c:v>
                </c:pt>
                <c:pt idx="24">
                  <c:v>2025-08-27 15:35</c:v>
                </c:pt>
                <c:pt idx="25">
                  <c:v>2025-08-27 15:40</c:v>
                </c:pt>
                <c:pt idx="26">
                  <c:v>2025-08-27 15:40</c:v>
                </c:pt>
                <c:pt idx="27">
                  <c:v>2025-08-27 15:45</c:v>
                </c:pt>
                <c:pt idx="28">
                  <c:v>2025-08-28 12:10</c:v>
                </c:pt>
                <c:pt idx="29">
                  <c:v>2025-08-28 14:15</c:v>
                </c:pt>
                <c:pt idx="30">
                  <c:v>2025-08-28 15:40</c:v>
                </c:pt>
                <c:pt idx="31">
                  <c:v>2025-08-28 15:40</c:v>
                </c:pt>
                <c:pt idx="32">
                  <c:v>2025-08-28 15:50</c:v>
                </c:pt>
                <c:pt idx="33">
                  <c:v>2025-08-29 10:40</c:v>
                </c:pt>
                <c:pt idx="34">
                  <c:v>2025-08-29 10:45</c:v>
                </c:pt>
                <c:pt idx="35">
                  <c:v>2025-08-29 10:50</c:v>
                </c:pt>
                <c:pt idx="36">
                  <c:v>2025-08-29 14:10</c:v>
                </c:pt>
                <c:pt idx="37">
                  <c:v>2025-08-29 14:10</c:v>
                </c:pt>
                <c:pt idx="38">
                  <c:v>2025-08-29 14:30</c:v>
                </c:pt>
                <c:pt idx="39">
                  <c:v>2025-08-29 14:45</c:v>
                </c:pt>
                <c:pt idx="40">
                  <c:v>2025-08-29 15:10</c:v>
                </c:pt>
                <c:pt idx="41">
                  <c:v>2025-08-29 15:20</c:v>
                </c:pt>
                <c:pt idx="42">
                  <c:v>2025-08-29 15:20</c:v>
                </c:pt>
                <c:pt idx="43">
                  <c:v>2025-09-01 10:00</c:v>
                </c:pt>
                <c:pt idx="44">
                  <c:v>2025-09-01 10:05</c:v>
                </c:pt>
                <c:pt idx="45">
                  <c:v>2025-09-01 10:05</c:v>
                </c:pt>
                <c:pt idx="46">
                  <c:v>2025-09-01 12:20</c:v>
                </c:pt>
                <c:pt idx="47">
                  <c:v>2025-09-01 12:20</c:v>
                </c:pt>
                <c:pt idx="48">
                  <c:v>2025-09-01 12:20</c:v>
                </c:pt>
                <c:pt idx="49">
                  <c:v>2025-09-01 14:15</c:v>
                </c:pt>
                <c:pt idx="50">
                  <c:v>2025-09-01 14:15</c:v>
                </c:pt>
                <c:pt idx="51">
                  <c:v>2025-09-01 14:20</c:v>
                </c:pt>
                <c:pt idx="52">
                  <c:v>2025-09-01 16:10</c:v>
                </c:pt>
                <c:pt idx="53">
                  <c:v>2025-09-01 16:10</c:v>
                </c:pt>
                <c:pt idx="54">
                  <c:v>2025-09-01 16:20</c:v>
                </c:pt>
                <c:pt idx="55">
                  <c:v>2025-09-01 16:25</c:v>
                </c:pt>
                <c:pt idx="56">
                  <c:v>2025-09-01 16:25</c:v>
                </c:pt>
                <c:pt idx="57">
                  <c:v>2025-09-02 10:15</c:v>
                </c:pt>
                <c:pt idx="58">
                  <c:v>2025-09-02 10:15</c:v>
                </c:pt>
                <c:pt idx="59">
                  <c:v>2025-09-02 10:20</c:v>
                </c:pt>
                <c:pt idx="60">
                  <c:v>2025-09-02 10:20</c:v>
                </c:pt>
                <c:pt idx="61">
                  <c:v>2025-09-02 10:50</c:v>
                </c:pt>
                <c:pt idx="62">
                  <c:v>2025-09-02 16:05</c:v>
                </c:pt>
                <c:pt idx="63">
                  <c:v>2025-09-03 10:05</c:v>
                </c:pt>
                <c:pt idx="64">
                  <c:v>2025-09-03 10:05</c:v>
                </c:pt>
                <c:pt idx="65">
                  <c:v>2025-09-03 10:45</c:v>
                </c:pt>
                <c:pt idx="66">
                  <c:v>2025-09-03 11:20</c:v>
                </c:pt>
                <c:pt idx="67">
                  <c:v>2025-09-03 11:20</c:v>
                </c:pt>
                <c:pt idx="68">
                  <c:v>2025-09-03 11:30</c:v>
                </c:pt>
                <c:pt idx="69">
                  <c:v>2025-09-03 11:30</c:v>
                </c:pt>
                <c:pt idx="70">
                  <c:v>2025-09-03 15:05</c:v>
                </c:pt>
                <c:pt idx="71">
                  <c:v>2025-09-03 15:50</c:v>
                </c:pt>
                <c:pt idx="72">
                  <c:v>2025-09-03 15:50</c:v>
                </c:pt>
                <c:pt idx="73">
                  <c:v>2025-09-04 10:00</c:v>
                </c:pt>
                <c:pt idx="74">
                  <c:v>2025-09-04 10:05</c:v>
                </c:pt>
                <c:pt idx="75">
                  <c:v>2025-09-04 10:05</c:v>
                </c:pt>
                <c:pt idx="76">
                  <c:v>2025-09-04 10:20</c:v>
                </c:pt>
                <c:pt idx="77">
                  <c:v>2025-09-04 10:20</c:v>
                </c:pt>
                <c:pt idx="78">
                  <c:v>2025-09-04 10:35</c:v>
                </c:pt>
                <c:pt idx="79">
                  <c:v>2025-09-04 14:00</c:v>
                </c:pt>
                <c:pt idx="80">
                  <c:v>2025-09-04 14:30</c:v>
                </c:pt>
                <c:pt idx="81">
                  <c:v>2025-09-04 14:30</c:v>
                </c:pt>
                <c:pt idx="82">
                  <c:v>2025-09-05 10:00</c:v>
                </c:pt>
                <c:pt idx="83">
                  <c:v>2025-09-05 10:05</c:v>
                </c:pt>
                <c:pt idx="84">
                  <c:v>2025-09-05 10:20</c:v>
                </c:pt>
                <c:pt idx="85">
                  <c:v>2025-09-05 10:50</c:v>
                </c:pt>
                <c:pt idx="86">
                  <c:v>2025-09-05 10:50</c:v>
                </c:pt>
                <c:pt idx="87">
                  <c:v>2025-09-05 11:10</c:v>
                </c:pt>
                <c:pt idx="88">
                  <c:v>2025-09-05 11:10</c:v>
                </c:pt>
                <c:pt idx="89">
                  <c:v>2025-09-05 11:15</c:v>
                </c:pt>
                <c:pt idx="90">
                  <c:v>2025-09-05 11:25</c:v>
                </c:pt>
                <c:pt idx="91">
                  <c:v>2025-09-05 11:25</c:v>
                </c:pt>
                <c:pt idx="92">
                  <c:v>2025-09-05 14:00</c:v>
                </c:pt>
                <c:pt idx="93">
                  <c:v>2025-09-05 15:05</c:v>
                </c:pt>
                <c:pt idx="94">
                  <c:v>2025-09-05 15:05</c:v>
                </c:pt>
                <c:pt idx="95">
                  <c:v>2025-09-05 15:40</c:v>
                </c:pt>
                <c:pt idx="96">
                  <c:v>2025-09-08 10:40</c:v>
                </c:pt>
                <c:pt idx="97">
                  <c:v>2025-09-08 11:20</c:v>
                </c:pt>
                <c:pt idx="98">
                  <c:v>2025-09-08 13:55</c:v>
                </c:pt>
                <c:pt idx="99">
                  <c:v>2025-09-08 13:55</c:v>
                </c:pt>
                <c:pt idx="100">
                  <c:v>2025-09-08 14:10</c:v>
                </c:pt>
                <c:pt idx="101">
                  <c:v>2025-09-08 14:10</c:v>
                </c:pt>
                <c:pt idx="102">
                  <c:v>2025-09-08 14:10</c:v>
                </c:pt>
                <c:pt idx="103">
                  <c:v>2025-09-08 15:55</c:v>
                </c:pt>
                <c:pt idx="104">
                  <c:v>2025-09-08 15:55</c:v>
                </c:pt>
                <c:pt idx="105">
                  <c:v>2025-09-08 16:15</c:v>
                </c:pt>
                <c:pt idx="106">
                  <c:v>2025-09-09 10:15</c:v>
                </c:pt>
                <c:pt idx="107">
                  <c:v>2025-09-09 13:55</c:v>
                </c:pt>
                <c:pt idx="108">
                  <c:v>2025-09-09 13:55</c:v>
                </c:pt>
                <c:pt idx="109">
                  <c:v>2025-09-09 14:10</c:v>
                </c:pt>
                <c:pt idx="110">
                  <c:v>2025-09-09 14:35</c:v>
                </c:pt>
                <c:pt idx="111">
                  <c:v>2025-09-09 14:35</c:v>
                </c:pt>
                <c:pt idx="112">
                  <c:v>2025-09-09 16:25</c:v>
                </c:pt>
                <c:pt idx="113">
                  <c:v>2025-09-10 10:05</c:v>
                </c:pt>
                <c:pt idx="114">
                  <c:v>2025-09-10 10:15</c:v>
                </c:pt>
                <c:pt idx="115">
                  <c:v>2025-09-10 10:15</c:v>
                </c:pt>
                <c:pt idx="116">
                  <c:v>2025-09-10 10:20</c:v>
                </c:pt>
                <c:pt idx="117">
                  <c:v>2025-09-10 13:55</c:v>
                </c:pt>
                <c:pt idx="118">
                  <c:v>2025-09-10 13:55</c:v>
                </c:pt>
                <c:pt idx="119">
                  <c:v>2025-09-10 14:00</c:v>
                </c:pt>
                <c:pt idx="120">
                  <c:v>2025-09-10 14:55</c:v>
                </c:pt>
                <c:pt idx="121">
                  <c:v>2025-09-10 14:55</c:v>
                </c:pt>
                <c:pt idx="122">
                  <c:v>2025-09-10 15:00</c:v>
                </c:pt>
                <c:pt idx="123">
                  <c:v>2025-09-10 15:00</c:v>
                </c:pt>
                <c:pt idx="124">
                  <c:v>2025-09-11 10:25</c:v>
                </c:pt>
                <c:pt idx="125">
                  <c:v>2025-09-11 10:25</c:v>
                </c:pt>
                <c:pt idx="126">
                  <c:v>2025-09-11 10:30</c:v>
                </c:pt>
                <c:pt idx="127">
                  <c:v>2025-09-11 11:10</c:v>
                </c:pt>
                <c:pt idx="128">
                  <c:v>2025-09-11 11:10</c:v>
                </c:pt>
              </c:strCache>
            </c:strRef>
          </c:cat>
          <c:val>
            <c:numRef>
              <c:f>events!$E$218:$E$346</c:f>
              <c:numCache>
                <c:formatCode>General</c:formatCode>
                <c:ptCount val="129"/>
                <c:pt idx="0">
                  <c:v>38.25</c:v>
                </c:pt>
                <c:pt idx="1">
                  <c:v>38.25</c:v>
                </c:pt>
                <c:pt idx="2">
                  <c:v>38.25</c:v>
                </c:pt>
                <c:pt idx="3">
                  <c:v>38.25</c:v>
                </c:pt>
                <c:pt idx="4">
                  <c:v>38.25</c:v>
                </c:pt>
                <c:pt idx="5">
                  <c:v>38.25</c:v>
                </c:pt>
                <c:pt idx="6">
                  <c:v>38.25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37.25</c:v>
                </c:pt>
                <c:pt idx="16">
                  <c:v>37.25</c:v>
                </c:pt>
                <c:pt idx="17">
                  <c:v>37.25</c:v>
                </c:pt>
                <c:pt idx="18">
                  <c:v>37.25</c:v>
                </c:pt>
                <c:pt idx="19">
                  <c:v>37.25</c:v>
                </c:pt>
                <c:pt idx="20">
                  <c:v>37.5</c:v>
                </c:pt>
                <c:pt idx="21">
                  <c:v>37</c:v>
                </c:pt>
                <c:pt idx="22">
                  <c:v>37.5</c:v>
                </c:pt>
                <c:pt idx="23">
                  <c:v>37</c:v>
                </c:pt>
                <c:pt idx="24">
                  <c:v>36.75</c:v>
                </c:pt>
                <c:pt idx="25">
                  <c:v>36.75</c:v>
                </c:pt>
                <c:pt idx="26">
                  <c:v>36.75</c:v>
                </c:pt>
                <c:pt idx="27">
                  <c:v>36.5</c:v>
                </c:pt>
                <c:pt idx="28">
                  <c:v>36.75</c:v>
                </c:pt>
                <c:pt idx="29">
                  <c:v>36.75</c:v>
                </c:pt>
                <c:pt idx="30">
                  <c:v>36.75</c:v>
                </c:pt>
                <c:pt idx="31">
                  <c:v>36.75</c:v>
                </c:pt>
                <c:pt idx="32">
                  <c:v>36.75</c:v>
                </c:pt>
                <c:pt idx="33">
                  <c:v>36</c:v>
                </c:pt>
                <c:pt idx="34">
                  <c:v>35.75</c:v>
                </c:pt>
                <c:pt idx="35">
                  <c:v>36.25</c:v>
                </c:pt>
                <c:pt idx="36">
                  <c:v>36.5</c:v>
                </c:pt>
                <c:pt idx="37">
                  <c:v>36.5</c:v>
                </c:pt>
                <c:pt idx="38">
                  <c:v>36.25</c:v>
                </c:pt>
                <c:pt idx="39">
                  <c:v>36.5</c:v>
                </c:pt>
                <c:pt idx="40">
                  <c:v>36.25</c:v>
                </c:pt>
                <c:pt idx="41">
                  <c:v>36.75</c:v>
                </c:pt>
                <c:pt idx="42">
                  <c:v>36.75</c:v>
                </c:pt>
                <c:pt idx="43">
                  <c:v>35.25</c:v>
                </c:pt>
                <c:pt idx="44">
                  <c:v>35.25</c:v>
                </c:pt>
                <c:pt idx="45">
                  <c:v>35.25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36.25</c:v>
                </c:pt>
                <c:pt idx="50">
                  <c:v>36.25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36.25</c:v>
                </c:pt>
                <c:pt idx="55">
                  <c:v>36</c:v>
                </c:pt>
                <c:pt idx="56">
                  <c:v>36</c:v>
                </c:pt>
                <c:pt idx="57">
                  <c:v>36.25</c:v>
                </c:pt>
                <c:pt idx="58">
                  <c:v>36.25</c:v>
                </c:pt>
                <c:pt idx="59">
                  <c:v>36.25</c:v>
                </c:pt>
                <c:pt idx="60">
                  <c:v>36.25</c:v>
                </c:pt>
                <c:pt idx="61">
                  <c:v>36.25</c:v>
                </c:pt>
                <c:pt idx="62">
                  <c:v>36</c:v>
                </c:pt>
                <c:pt idx="63">
                  <c:v>36.25</c:v>
                </c:pt>
                <c:pt idx="64">
                  <c:v>36.25</c:v>
                </c:pt>
                <c:pt idx="65">
                  <c:v>36.5</c:v>
                </c:pt>
                <c:pt idx="66">
                  <c:v>36.5</c:v>
                </c:pt>
                <c:pt idx="67">
                  <c:v>36.5</c:v>
                </c:pt>
                <c:pt idx="68">
                  <c:v>36.75</c:v>
                </c:pt>
                <c:pt idx="69">
                  <c:v>36.75</c:v>
                </c:pt>
                <c:pt idx="70">
                  <c:v>36.75</c:v>
                </c:pt>
                <c:pt idx="71">
                  <c:v>36.75</c:v>
                </c:pt>
                <c:pt idx="72">
                  <c:v>36.75</c:v>
                </c:pt>
                <c:pt idx="73">
                  <c:v>37.75</c:v>
                </c:pt>
                <c:pt idx="74">
                  <c:v>38.25</c:v>
                </c:pt>
                <c:pt idx="75">
                  <c:v>38.25</c:v>
                </c:pt>
                <c:pt idx="76">
                  <c:v>38.5</c:v>
                </c:pt>
                <c:pt idx="77">
                  <c:v>38.5</c:v>
                </c:pt>
                <c:pt idx="78">
                  <c:v>38.5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37.25</c:v>
                </c:pt>
                <c:pt idx="83">
                  <c:v>37.5</c:v>
                </c:pt>
                <c:pt idx="84">
                  <c:v>37.75</c:v>
                </c:pt>
                <c:pt idx="85">
                  <c:v>37.75</c:v>
                </c:pt>
                <c:pt idx="86">
                  <c:v>37.75</c:v>
                </c:pt>
                <c:pt idx="87">
                  <c:v>37.75</c:v>
                </c:pt>
                <c:pt idx="88">
                  <c:v>37.75</c:v>
                </c:pt>
                <c:pt idx="89">
                  <c:v>38.25</c:v>
                </c:pt>
                <c:pt idx="90">
                  <c:v>38.25</c:v>
                </c:pt>
                <c:pt idx="91">
                  <c:v>38.25</c:v>
                </c:pt>
                <c:pt idx="92">
                  <c:v>38.25</c:v>
                </c:pt>
                <c:pt idx="93">
                  <c:v>38.5</c:v>
                </c:pt>
                <c:pt idx="94">
                  <c:v>38.5</c:v>
                </c:pt>
                <c:pt idx="95">
                  <c:v>38.25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38.25</c:v>
                </c:pt>
                <c:pt idx="104">
                  <c:v>38.25</c:v>
                </c:pt>
                <c:pt idx="105">
                  <c:v>37.75</c:v>
                </c:pt>
                <c:pt idx="106">
                  <c:v>38.5</c:v>
                </c:pt>
                <c:pt idx="107">
                  <c:v>38.25</c:v>
                </c:pt>
                <c:pt idx="108">
                  <c:v>38.25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38.25</c:v>
                </c:pt>
                <c:pt idx="113">
                  <c:v>38</c:v>
                </c:pt>
                <c:pt idx="114">
                  <c:v>38.25</c:v>
                </c:pt>
                <c:pt idx="115">
                  <c:v>38.25</c:v>
                </c:pt>
                <c:pt idx="116">
                  <c:v>38</c:v>
                </c:pt>
                <c:pt idx="117">
                  <c:v>37.75</c:v>
                </c:pt>
                <c:pt idx="118">
                  <c:v>37.75</c:v>
                </c:pt>
                <c:pt idx="119">
                  <c:v>37.5</c:v>
                </c:pt>
                <c:pt idx="120">
                  <c:v>37.75</c:v>
                </c:pt>
                <c:pt idx="121">
                  <c:v>37.75</c:v>
                </c:pt>
                <c:pt idx="122">
                  <c:v>37.75</c:v>
                </c:pt>
                <c:pt idx="123">
                  <c:v>37.75</c:v>
                </c:pt>
                <c:pt idx="124">
                  <c:v>38</c:v>
                </c:pt>
                <c:pt idx="125">
                  <c:v>38</c:v>
                </c:pt>
                <c:pt idx="126">
                  <c:v>37.75</c:v>
                </c:pt>
                <c:pt idx="127">
                  <c:v>37.75</c:v>
                </c:pt>
                <c:pt idx="128">
                  <c:v>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7-4B79-9A38-17AF581B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831167"/>
        <c:axId val="288835743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events!$B$218:$B$346</c:f>
              <c:strCache>
                <c:ptCount val="129"/>
                <c:pt idx="0">
                  <c:v>2025-08-25 10:00</c:v>
                </c:pt>
                <c:pt idx="1">
                  <c:v>2025-08-25 10:00</c:v>
                </c:pt>
                <c:pt idx="2">
                  <c:v>2025-08-25 10:10</c:v>
                </c:pt>
                <c:pt idx="3">
                  <c:v>2025-08-25 10:10</c:v>
                </c:pt>
                <c:pt idx="4">
                  <c:v>2025-08-25 12:20</c:v>
                </c:pt>
                <c:pt idx="5">
                  <c:v>2025-08-25 12:20</c:v>
                </c:pt>
                <c:pt idx="6">
                  <c:v>2025-08-25 12:20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15:10</c:v>
                </c:pt>
                <c:pt idx="10">
                  <c:v>2025-08-26 10:05</c:v>
                </c:pt>
                <c:pt idx="11">
                  <c:v>2025-08-26 10:05</c:v>
                </c:pt>
                <c:pt idx="12">
                  <c:v>2025-08-26 10:25</c:v>
                </c:pt>
                <c:pt idx="13">
                  <c:v>2025-08-26 10:40</c:v>
                </c:pt>
                <c:pt idx="14">
                  <c:v>2025-08-26 10:40</c:v>
                </c:pt>
                <c:pt idx="15">
                  <c:v>2025-08-26 14:10</c:v>
                </c:pt>
                <c:pt idx="16">
                  <c:v>2025-08-26 14:10</c:v>
                </c:pt>
                <c:pt idx="17">
                  <c:v>2025-08-26 14:30</c:v>
                </c:pt>
                <c:pt idx="18">
                  <c:v>2025-08-26 14:30</c:v>
                </c:pt>
                <c:pt idx="19">
                  <c:v>2025-08-26 14:40</c:v>
                </c:pt>
                <c:pt idx="20">
                  <c:v>2025-08-27 10:35</c:v>
                </c:pt>
                <c:pt idx="21">
                  <c:v>2025-08-27 10:55</c:v>
                </c:pt>
                <c:pt idx="22">
                  <c:v>2025-08-27 11:05</c:v>
                </c:pt>
                <c:pt idx="23">
                  <c:v>2025-08-27 14:05</c:v>
                </c:pt>
                <c:pt idx="24">
                  <c:v>2025-08-27 15:35</c:v>
                </c:pt>
                <c:pt idx="25">
                  <c:v>2025-08-27 15:40</c:v>
                </c:pt>
                <c:pt idx="26">
                  <c:v>2025-08-27 15:40</c:v>
                </c:pt>
                <c:pt idx="27">
                  <c:v>2025-08-27 15:45</c:v>
                </c:pt>
                <c:pt idx="28">
                  <c:v>2025-08-28 12:10</c:v>
                </c:pt>
                <c:pt idx="29">
                  <c:v>2025-08-28 14:15</c:v>
                </c:pt>
                <c:pt idx="30">
                  <c:v>2025-08-28 15:40</c:v>
                </c:pt>
                <c:pt idx="31">
                  <c:v>2025-08-28 15:40</c:v>
                </c:pt>
                <c:pt idx="32">
                  <c:v>2025-08-28 15:50</c:v>
                </c:pt>
                <c:pt idx="33">
                  <c:v>2025-08-29 10:40</c:v>
                </c:pt>
                <c:pt idx="34">
                  <c:v>2025-08-29 10:45</c:v>
                </c:pt>
                <c:pt idx="35">
                  <c:v>2025-08-29 10:50</c:v>
                </c:pt>
                <c:pt idx="36">
                  <c:v>2025-08-29 14:10</c:v>
                </c:pt>
                <c:pt idx="37">
                  <c:v>2025-08-29 14:10</c:v>
                </c:pt>
                <c:pt idx="38">
                  <c:v>2025-08-29 14:30</c:v>
                </c:pt>
                <c:pt idx="39">
                  <c:v>2025-08-29 14:45</c:v>
                </c:pt>
                <c:pt idx="40">
                  <c:v>2025-08-29 15:10</c:v>
                </c:pt>
                <c:pt idx="41">
                  <c:v>2025-08-29 15:20</c:v>
                </c:pt>
                <c:pt idx="42">
                  <c:v>2025-08-29 15:20</c:v>
                </c:pt>
                <c:pt idx="43">
                  <c:v>2025-09-01 10:00</c:v>
                </c:pt>
                <c:pt idx="44">
                  <c:v>2025-09-01 10:05</c:v>
                </c:pt>
                <c:pt idx="45">
                  <c:v>2025-09-01 10:05</c:v>
                </c:pt>
                <c:pt idx="46">
                  <c:v>2025-09-01 12:20</c:v>
                </c:pt>
                <c:pt idx="47">
                  <c:v>2025-09-01 12:20</c:v>
                </c:pt>
                <c:pt idx="48">
                  <c:v>2025-09-01 12:20</c:v>
                </c:pt>
                <c:pt idx="49">
                  <c:v>2025-09-01 14:15</c:v>
                </c:pt>
                <c:pt idx="50">
                  <c:v>2025-09-01 14:15</c:v>
                </c:pt>
                <c:pt idx="51">
                  <c:v>2025-09-01 14:20</c:v>
                </c:pt>
                <c:pt idx="52">
                  <c:v>2025-09-01 16:10</c:v>
                </c:pt>
                <c:pt idx="53">
                  <c:v>2025-09-01 16:10</c:v>
                </c:pt>
                <c:pt idx="54">
                  <c:v>2025-09-01 16:20</c:v>
                </c:pt>
                <c:pt idx="55">
                  <c:v>2025-09-01 16:25</c:v>
                </c:pt>
                <c:pt idx="56">
                  <c:v>2025-09-01 16:25</c:v>
                </c:pt>
                <c:pt idx="57">
                  <c:v>2025-09-02 10:15</c:v>
                </c:pt>
                <c:pt idx="58">
                  <c:v>2025-09-02 10:15</c:v>
                </c:pt>
                <c:pt idx="59">
                  <c:v>2025-09-02 10:20</c:v>
                </c:pt>
                <c:pt idx="60">
                  <c:v>2025-09-02 10:20</c:v>
                </c:pt>
                <c:pt idx="61">
                  <c:v>2025-09-02 10:50</c:v>
                </c:pt>
                <c:pt idx="62">
                  <c:v>2025-09-02 16:05</c:v>
                </c:pt>
                <c:pt idx="63">
                  <c:v>2025-09-03 10:05</c:v>
                </c:pt>
                <c:pt idx="64">
                  <c:v>2025-09-03 10:05</c:v>
                </c:pt>
                <c:pt idx="65">
                  <c:v>2025-09-03 10:45</c:v>
                </c:pt>
                <c:pt idx="66">
                  <c:v>2025-09-03 11:20</c:v>
                </c:pt>
                <c:pt idx="67">
                  <c:v>2025-09-03 11:20</c:v>
                </c:pt>
                <c:pt idx="68">
                  <c:v>2025-09-03 11:30</c:v>
                </c:pt>
                <c:pt idx="69">
                  <c:v>2025-09-03 11:30</c:v>
                </c:pt>
                <c:pt idx="70">
                  <c:v>2025-09-03 15:05</c:v>
                </c:pt>
                <c:pt idx="71">
                  <c:v>2025-09-03 15:50</c:v>
                </c:pt>
                <c:pt idx="72">
                  <c:v>2025-09-03 15:50</c:v>
                </c:pt>
                <c:pt idx="73">
                  <c:v>2025-09-04 10:00</c:v>
                </c:pt>
                <c:pt idx="74">
                  <c:v>2025-09-04 10:05</c:v>
                </c:pt>
                <c:pt idx="75">
                  <c:v>2025-09-04 10:05</c:v>
                </c:pt>
                <c:pt idx="76">
                  <c:v>2025-09-04 10:20</c:v>
                </c:pt>
                <c:pt idx="77">
                  <c:v>2025-09-04 10:20</c:v>
                </c:pt>
                <c:pt idx="78">
                  <c:v>2025-09-04 10:35</c:v>
                </c:pt>
                <c:pt idx="79">
                  <c:v>2025-09-04 14:00</c:v>
                </c:pt>
                <c:pt idx="80">
                  <c:v>2025-09-04 14:30</c:v>
                </c:pt>
                <c:pt idx="81">
                  <c:v>2025-09-04 14:30</c:v>
                </c:pt>
                <c:pt idx="82">
                  <c:v>2025-09-05 10:00</c:v>
                </c:pt>
                <c:pt idx="83">
                  <c:v>2025-09-05 10:05</c:v>
                </c:pt>
                <c:pt idx="84">
                  <c:v>2025-09-05 10:20</c:v>
                </c:pt>
                <c:pt idx="85">
                  <c:v>2025-09-05 10:50</c:v>
                </c:pt>
                <c:pt idx="86">
                  <c:v>2025-09-05 10:50</c:v>
                </c:pt>
                <c:pt idx="87">
                  <c:v>2025-09-05 11:10</c:v>
                </c:pt>
                <c:pt idx="88">
                  <c:v>2025-09-05 11:10</c:v>
                </c:pt>
                <c:pt idx="89">
                  <c:v>2025-09-05 11:15</c:v>
                </c:pt>
                <c:pt idx="90">
                  <c:v>2025-09-05 11:25</c:v>
                </c:pt>
                <c:pt idx="91">
                  <c:v>2025-09-05 11:25</c:v>
                </c:pt>
                <c:pt idx="92">
                  <c:v>2025-09-05 14:00</c:v>
                </c:pt>
                <c:pt idx="93">
                  <c:v>2025-09-05 15:05</c:v>
                </c:pt>
                <c:pt idx="94">
                  <c:v>2025-09-05 15:05</c:v>
                </c:pt>
                <c:pt idx="95">
                  <c:v>2025-09-05 15:40</c:v>
                </c:pt>
                <c:pt idx="96">
                  <c:v>2025-09-08 10:40</c:v>
                </c:pt>
                <c:pt idx="97">
                  <c:v>2025-09-08 11:20</c:v>
                </c:pt>
                <c:pt idx="98">
                  <c:v>2025-09-08 13:55</c:v>
                </c:pt>
                <c:pt idx="99">
                  <c:v>2025-09-08 13:55</c:v>
                </c:pt>
                <c:pt idx="100">
                  <c:v>2025-09-08 14:10</c:v>
                </c:pt>
                <c:pt idx="101">
                  <c:v>2025-09-08 14:10</c:v>
                </c:pt>
                <c:pt idx="102">
                  <c:v>2025-09-08 14:10</c:v>
                </c:pt>
                <c:pt idx="103">
                  <c:v>2025-09-08 15:55</c:v>
                </c:pt>
                <c:pt idx="104">
                  <c:v>2025-09-08 15:55</c:v>
                </c:pt>
                <c:pt idx="105">
                  <c:v>2025-09-08 16:15</c:v>
                </c:pt>
                <c:pt idx="106">
                  <c:v>2025-09-09 10:15</c:v>
                </c:pt>
                <c:pt idx="107">
                  <c:v>2025-09-09 13:55</c:v>
                </c:pt>
                <c:pt idx="108">
                  <c:v>2025-09-09 13:55</c:v>
                </c:pt>
                <c:pt idx="109">
                  <c:v>2025-09-09 14:10</c:v>
                </c:pt>
                <c:pt idx="110">
                  <c:v>2025-09-09 14:35</c:v>
                </c:pt>
                <c:pt idx="111">
                  <c:v>2025-09-09 14:35</c:v>
                </c:pt>
                <c:pt idx="112">
                  <c:v>2025-09-09 16:25</c:v>
                </c:pt>
                <c:pt idx="113">
                  <c:v>2025-09-10 10:05</c:v>
                </c:pt>
                <c:pt idx="114">
                  <c:v>2025-09-10 10:15</c:v>
                </c:pt>
                <c:pt idx="115">
                  <c:v>2025-09-10 10:15</c:v>
                </c:pt>
                <c:pt idx="116">
                  <c:v>2025-09-10 10:20</c:v>
                </c:pt>
                <c:pt idx="117">
                  <c:v>2025-09-10 13:55</c:v>
                </c:pt>
                <c:pt idx="118">
                  <c:v>2025-09-10 13:55</c:v>
                </c:pt>
                <c:pt idx="119">
                  <c:v>2025-09-10 14:00</c:v>
                </c:pt>
                <c:pt idx="120">
                  <c:v>2025-09-10 14:55</c:v>
                </c:pt>
                <c:pt idx="121">
                  <c:v>2025-09-10 14:55</c:v>
                </c:pt>
                <c:pt idx="122">
                  <c:v>2025-09-10 15:00</c:v>
                </c:pt>
                <c:pt idx="123">
                  <c:v>2025-09-10 15:00</c:v>
                </c:pt>
                <c:pt idx="124">
                  <c:v>2025-09-11 10:25</c:v>
                </c:pt>
                <c:pt idx="125">
                  <c:v>2025-09-11 10:25</c:v>
                </c:pt>
                <c:pt idx="126">
                  <c:v>2025-09-11 10:30</c:v>
                </c:pt>
                <c:pt idx="127">
                  <c:v>2025-09-11 11:10</c:v>
                </c:pt>
                <c:pt idx="128">
                  <c:v>2025-09-11 11:10</c:v>
                </c:pt>
              </c:strCache>
            </c:strRef>
          </c:cat>
          <c:val>
            <c:numRef>
              <c:f>events!$F$218:$F$346</c:f>
              <c:numCache>
                <c:formatCode>General</c:formatCode>
                <c:ptCount val="129"/>
                <c:pt idx="0">
                  <c:v>2540796</c:v>
                </c:pt>
                <c:pt idx="1">
                  <c:v>2540796</c:v>
                </c:pt>
                <c:pt idx="2">
                  <c:v>1666023</c:v>
                </c:pt>
                <c:pt idx="3">
                  <c:v>1666023</c:v>
                </c:pt>
                <c:pt idx="4">
                  <c:v>2248401</c:v>
                </c:pt>
                <c:pt idx="5">
                  <c:v>2248401</c:v>
                </c:pt>
                <c:pt idx="6">
                  <c:v>2248401</c:v>
                </c:pt>
                <c:pt idx="7">
                  <c:v>2217600</c:v>
                </c:pt>
                <c:pt idx="8">
                  <c:v>2217600</c:v>
                </c:pt>
                <c:pt idx="9">
                  <c:v>2413258</c:v>
                </c:pt>
                <c:pt idx="10">
                  <c:v>1330780</c:v>
                </c:pt>
                <c:pt idx="11">
                  <c:v>1330780</c:v>
                </c:pt>
                <c:pt idx="12">
                  <c:v>656905</c:v>
                </c:pt>
                <c:pt idx="13">
                  <c:v>962154</c:v>
                </c:pt>
                <c:pt idx="14">
                  <c:v>962154</c:v>
                </c:pt>
                <c:pt idx="15">
                  <c:v>2448660</c:v>
                </c:pt>
                <c:pt idx="16">
                  <c:v>2448660</c:v>
                </c:pt>
                <c:pt idx="17">
                  <c:v>1790812</c:v>
                </c:pt>
                <c:pt idx="18">
                  <c:v>1790812</c:v>
                </c:pt>
                <c:pt idx="19">
                  <c:v>796902</c:v>
                </c:pt>
                <c:pt idx="20">
                  <c:v>1892086</c:v>
                </c:pt>
                <c:pt idx="21">
                  <c:v>1528158</c:v>
                </c:pt>
                <c:pt idx="22">
                  <c:v>1544701</c:v>
                </c:pt>
                <c:pt idx="23">
                  <c:v>1537002</c:v>
                </c:pt>
                <c:pt idx="24">
                  <c:v>2511026</c:v>
                </c:pt>
                <c:pt idx="25">
                  <c:v>2099641</c:v>
                </c:pt>
                <c:pt idx="26">
                  <c:v>2099641</c:v>
                </c:pt>
                <c:pt idx="27">
                  <c:v>4186570</c:v>
                </c:pt>
                <c:pt idx="28">
                  <c:v>1123723</c:v>
                </c:pt>
                <c:pt idx="29">
                  <c:v>3722560</c:v>
                </c:pt>
                <c:pt idx="30">
                  <c:v>1170230</c:v>
                </c:pt>
                <c:pt idx="31">
                  <c:v>1170230</c:v>
                </c:pt>
                <c:pt idx="32">
                  <c:v>2509303</c:v>
                </c:pt>
                <c:pt idx="33">
                  <c:v>2182676</c:v>
                </c:pt>
                <c:pt idx="34">
                  <c:v>2344019</c:v>
                </c:pt>
                <c:pt idx="35">
                  <c:v>2709355</c:v>
                </c:pt>
                <c:pt idx="36">
                  <c:v>800566</c:v>
                </c:pt>
                <c:pt idx="37">
                  <c:v>800566</c:v>
                </c:pt>
                <c:pt idx="38">
                  <c:v>1323248</c:v>
                </c:pt>
                <c:pt idx="39">
                  <c:v>1018333</c:v>
                </c:pt>
                <c:pt idx="40">
                  <c:v>520172</c:v>
                </c:pt>
                <c:pt idx="41">
                  <c:v>3705141</c:v>
                </c:pt>
                <c:pt idx="42">
                  <c:v>3705141</c:v>
                </c:pt>
                <c:pt idx="43">
                  <c:v>0</c:v>
                </c:pt>
                <c:pt idx="44">
                  <c:v>3859766</c:v>
                </c:pt>
                <c:pt idx="45">
                  <c:v>3859766</c:v>
                </c:pt>
                <c:pt idx="46">
                  <c:v>2944092</c:v>
                </c:pt>
                <c:pt idx="47">
                  <c:v>2944092</c:v>
                </c:pt>
                <c:pt idx="48">
                  <c:v>2944092</c:v>
                </c:pt>
                <c:pt idx="49">
                  <c:v>2100513</c:v>
                </c:pt>
                <c:pt idx="50">
                  <c:v>2100513</c:v>
                </c:pt>
                <c:pt idx="51">
                  <c:v>1293048</c:v>
                </c:pt>
                <c:pt idx="52">
                  <c:v>140208</c:v>
                </c:pt>
                <c:pt idx="53">
                  <c:v>140208</c:v>
                </c:pt>
                <c:pt idx="54">
                  <c:v>534600</c:v>
                </c:pt>
                <c:pt idx="55">
                  <c:v>364602</c:v>
                </c:pt>
                <c:pt idx="56">
                  <c:v>364602</c:v>
                </c:pt>
                <c:pt idx="57">
                  <c:v>653755</c:v>
                </c:pt>
                <c:pt idx="58">
                  <c:v>653755</c:v>
                </c:pt>
                <c:pt idx="59">
                  <c:v>795800</c:v>
                </c:pt>
                <c:pt idx="60">
                  <c:v>795800</c:v>
                </c:pt>
                <c:pt idx="61">
                  <c:v>2218353</c:v>
                </c:pt>
                <c:pt idx="62">
                  <c:v>71108</c:v>
                </c:pt>
                <c:pt idx="63">
                  <c:v>722856</c:v>
                </c:pt>
                <c:pt idx="64">
                  <c:v>722856</c:v>
                </c:pt>
                <c:pt idx="65">
                  <c:v>1899810</c:v>
                </c:pt>
                <c:pt idx="66">
                  <c:v>969788</c:v>
                </c:pt>
                <c:pt idx="67">
                  <c:v>969788</c:v>
                </c:pt>
                <c:pt idx="68">
                  <c:v>2181100</c:v>
                </c:pt>
                <c:pt idx="69">
                  <c:v>2181100</c:v>
                </c:pt>
                <c:pt idx="70">
                  <c:v>989455</c:v>
                </c:pt>
                <c:pt idx="71">
                  <c:v>1584200</c:v>
                </c:pt>
                <c:pt idx="72">
                  <c:v>1584200</c:v>
                </c:pt>
                <c:pt idx="73">
                  <c:v>0</c:v>
                </c:pt>
                <c:pt idx="74">
                  <c:v>7668794</c:v>
                </c:pt>
                <c:pt idx="75">
                  <c:v>7668794</c:v>
                </c:pt>
                <c:pt idx="76">
                  <c:v>3176750</c:v>
                </c:pt>
                <c:pt idx="77">
                  <c:v>3176750</c:v>
                </c:pt>
                <c:pt idx="78">
                  <c:v>2813238</c:v>
                </c:pt>
                <c:pt idx="79">
                  <c:v>1598800</c:v>
                </c:pt>
                <c:pt idx="80">
                  <c:v>1060007</c:v>
                </c:pt>
                <c:pt idx="81">
                  <c:v>1060007</c:v>
                </c:pt>
                <c:pt idx="82">
                  <c:v>0</c:v>
                </c:pt>
                <c:pt idx="83">
                  <c:v>811858</c:v>
                </c:pt>
                <c:pt idx="84">
                  <c:v>906102</c:v>
                </c:pt>
                <c:pt idx="85">
                  <c:v>870101</c:v>
                </c:pt>
                <c:pt idx="86">
                  <c:v>870101</c:v>
                </c:pt>
                <c:pt idx="87">
                  <c:v>1125248</c:v>
                </c:pt>
                <c:pt idx="88">
                  <c:v>1125248</c:v>
                </c:pt>
                <c:pt idx="89">
                  <c:v>2025462</c:v>
                </c:pt>
                <c:pt idx="90">
                  <c:v>1324261</c:v>
                </c:pt>
                <c:pt idx="91">
                  <c:v>1324261</c:v>
                </c:pt>
                <c:pt idx="92">
                  <c:v>1924312</c:v>
                </c:pt>
                <c:pt idx="93">
                  <c:v>2762459</c:v>
                </c:pt>
                <c:pt idx="94">
                  <c:v>2762459</c:v>
                </c:pt>
                <c:pt idx="95">
                  <c:v>1441757</c:v>
                </c:pt>
                <c:pt idx="96">
                  <c:v>1500250</c:v>
                </c:pt>
                <c:pt idx="97">
                  <c:v>1152732</c:v>
                </c:pt>
                <c:pt idx="98">
                  <c:v>409400</c:v>
                </c:pt>
                <c:pt idx="99">
                  <c:v>409400</c:v>
                </c:pt>
                <c:pt idx="100">
                  <c:v>7325819</c:v>
                </c:pt>
                <c:pt idx="101">
                  <c:v>7325819</c:v>
                </c:pt>
                <c:pt idx="102">
                  <c:v>7325819</c:v>
                </c:pt>
                <c:pt idx="103">
                  <c:v>878822</c:v>
                </c:pt>
                <c:pt idx="104">
                  <c:v>878822</c:v>
                </c:pt>
                <c:pt idx="105">
                  <c:v>1641997</c:v>
                </c:pt>
                <c:pt idx="106">
                  <c:v>2090337</c:v>
                </c:pt>
                <c:pt idx="107">
                  <c:v>1869700</c:v>
                </c:pt>
                <c:pt idx="108">
                  <c:v>1869700</c:v>
                </c:pt>
                <c:pt idx="109">
                  <c:v>1290596</c:v>
                </c:pt>
                <c:pt idx="110">
                  <c:v>1130027</c:v>
                </c:pt>
                <c:pt idx="111">
                  <c:v>1130027</c:v>
                </c:pt>
                <c:pt idx="112">
                  <c:v>429409</c:v>
                </c:pt>
                <c:pt idx="113">
                  <c:v>697813</c:v>
                </c:pt>
                <c:pt idx="114">
                  <c:v>2016806</c:v>
                </c:pt>
                <c:pt idx="115">
                  <c:v>2016806</c:v>
                </c:pt>
                <c:pt idx="116">
                  <c:v>994333</c:v>
                </c:pt>
                <c:pt idx="117">
                  <c:v>1762000</c:v>
                </c:pt>
                <c:pt idx="118">
                  <c:v>1762000</c:v>
                </c:pt>
                <c:pt idx="119">
                  <c:v>1260000</c:v>
                </c:pt>
                <c:pt idx="120">
                  <c:v>3926800</c:v>
                </c:pt>
                <c:pt idx="121">
                  <c:v>3926800</c:v>
                </c:pt>
                <c:pt idx="122">
                  <c:v>1772400</c:v>
                </c:pt>
                <c:pt idx="123">
                  <c:v>1772400</c:v>
                </c:pt>
                <c:pt idx="124">
                  <c:v>117212</c:v>
                </c:pt>
                <c:pt idx="125">
                  <c:v>117212</c:v>
                </c:pt>
                <c:pt idx="126">
                  <c:v>232100</c:v>
                </c:pt>
                <c:pt idx="127">
                  <c:v>3588955</c:v>
                </c:pt>
                <c:pt idx="128">
                  <c:v>3588955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7-4B79-9A38-17AF581B94C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events!$B$218:$B$346</c:f>
              <c:strCache>
                <c:ptCount val="129"/>
                <c:pt idx="0">
                  <c:v>2025-08-25 10:00</c:v>
                </c:pt>
                <c:pt idx="1">
                  <c:v>2025-08-25 10:00</c:v>
                </c:pt>
                <c:pt idx="2">
                  <c:v>2025-08-25 10:10</c:v>
                </c:pt>
                <c:pt idx="3">
                  <c:v>2025-08-25 10:10</c:v>
                </c:pt>
                <c:pt idx="4">
                  <c:v>2025-08-25 12:20</c:v>
                </c:pt>
                <c:pt idx="5">
                  <c:v>2025-08-25 12:20</c:v>
                </c:pt>
                <c:pt idx="6">
                  <c:v>2025-08-25 12:20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15:10</c:v>
                </c:pt>
                <c:pt idx="10">
                  <c:v>2025-08-26 10:05</c:v>
                </c:pt>
                <c:pt idx="11">
                  <c:v>2025-08-26 10:05</c:v>
                </c:pt>
                <c:pt idx="12">
                  <c:v>2025-08-26 10:25</c:v>
                </c:pt>
                <c:pt idx="13">
                  <c:v>2025-08-26 10:40</c:v>
                </c:pt>
                <c:pt idx="14">
                  <c:v>2025-08-26 10:40</c:v>
                </c:pt>
                <c:pt idx="15">
                  <c:v>2025-08-26 14:10</c:v>
                </c:pt>
                <c:pt idx="16">
                  <c:v>2025-08-26 14:10</c:v>
                </c:pt>
                <c:pt idx="17">
                  <c:v>2025-08-26 14:30</c:v>
                </c:pt>
                <c:pt idx="18">
                  <c:v>2025-08-26 14:30</c:v>
                </c:pt>
                <c:pt idx="19">
                  <c:v>2025-08-26 14:40</c:v>
                </c:pt>
                <c:pt idx="20">
                  <c:v>2025-08-27 10:35</c:v>
                </c:pt>
                <c:pt idx="21">
                  <c:v>2025-08-27 10:55</c:v>
                </c:pt>
                <c:pt idx="22">
                  <c:v>2025-08-27 11:05</c:v>
                </c:pt>
                <c:pt idx="23">
                  <c:v>2025-08-27 14:05</c:v>
                </c:pt>
                <c:pt idx="24">
                  <c:v>2025-08-27 15:35</c:v>
                </c:pt>
                <c:pt idx="25">
                  <c:v>2025-08-27 15:40</c:v>
                </c:pt>
                <c:pt idx="26">
                  <c:v>2025-08-27 15:40</c:v>
                </c:pt>
                <c:pt idx="27">
                  <c:v>2025-08-27 15:45</c:v>
                </c:pt>
                <c:pt idx="28">
                  <c:v>2025-08-28 12:10</c:v>
                </c:pt>
                <c:pt idx="29">
                  <c:v>2025-08-28 14:15</c:v>
                </c:pt>
                <c:pt idx="30">
                  <c:v>2025-08-28 15:40</c:v>
                </c:pt>
                <c:pt idx="31">
                  <c:v>2025-08-28 15:40</c:v>
                </c:pt>
                <c:pt idx="32">
                  <c:v>2025-08-28 15:50</c:v>
                </c:pt>
                <c:pt idx="33">
                  <c:v>2025-08-29 10:40</c:v>
                </c:pt>
                <c:pt idx="34">
                  <c:v>2025-08-29 10:45</c:v>
                </c:pt>
                <c:pt idx="35">
                  <c:v>2025-08-29 10:50</c:v>
                </c:pt>
                <c:pt idx="36">
                  <c:v>2025-08-29 14:10</c:v>
                </c:pt>
                <c:pt idx="37">
                  <c:v>2025-08-29 14:10</c:v>
                </c:pt>
                <c:pt idx="38">
                  <c:v>2025-08-29 14:30</c:v>
                </c:pt>
                <c:pt idx="39">
                  <c:v>2025-08-29 14:45</c:v>
                </c:pt>
                <c:pt idx="40">
                  <c:v>2025-08-29 15:10</c:v>
                </c:pt>
                <c:pt idx="41">
                  <c:v>2025-08-29 15:20</c:v>
                </c:pt>
                <c:pt idx="42">
                  <c:v>2025-08-29 15:20</c:v>
                </c:pt>
                <c:pt idx="43">
                  <c:v>2025-09-01 10:00</c:v>
                </c:pt>
                <c:pt idx="44">
                  <c:v>2025-09-01 10:05</c:v>
                </c:pt>
                <c:pt idx="45">
                  <c:v>2025-09-01 10:05</c:v>
                </c:pt>
                <c:pt idx="46">
                  <c:v>2025-09-01 12:20</c:v>
                </c:pt>
                <c:pt idx="47">
                  <c:v>2025-09-01 12:20</c:v>
                </c:pt>
                <c:pt idx="48">
                  <c:v>2025-09-01 12:20</c:v>
                </c:pt>
                <c:pt idx="49">
                  <c:v>2025-09-01 14:15</c:v>
                </c:pt>
                <c:pt idx="50">
                  <c:v>2025-09-01 14:15</c:v>
                </c:pt>
                <c:pt idx="51">
                  <c:v>2025-09-01 14:20</c:v>
                </c:pt>
                <c:pt idx="52">
                  <c:v>2025-09-01 16:10</c:v>
                </c:pt>
                <c:pt idx="53">
                  <c:v>2025-09-01 16:10</c:v>
                </c:pt>
                <c:pt idx="54">
                  <c:v>2025-09-01 16:20</c:v>
                </c:pt>
                <c:pt idx="55">
                  <c:v>2025-09-01 16:25</c:v>
                </c:pt>
                <c:pt idx="56">
                  <c:v>2025-09-01 16:25</c:v>
                </c:pt>
                <c:pt idx="57">
                  <c:v>2025-09-02 10:15</c:v>
                </c:pt>
                <c:pt idx="58">
                  <c:v>2025-09-02 10:15</c:v>
                </c:pt>
                <c:pt idx="59">
                  <c:v>2025-09-02 10:20</c:v>
                </c:pt>
                <c:pt idx="60">
                  <c:v>2025-09-02 10:20</c:v>
                </c:pt>
                <c:pt idx="61">
                  <c:v>2025-09-02 10:50</c:v>
                </c:pt>
                <c:pt idx="62">
                  <c:v>2025-09-02 16:05</c:v>
                </c:pt>
                <c:pt idx="63">
                  <c:v>2025-09-03 10:05</c:v>
                </c:pt>
                <c:pt idx="64">
                  <c:v>2025-09-03 10:05</c:v>
                </c:pt>
                <c:pt idx="65">
                  <c:v>2025-09-03 10:45</c:v>
                </c:pt>
                <c:pt idx="66">
                  <c:v>2025-09-03 11:20</c:v>
                </c:pt>
                <c:pt idx="67">
                  <c:v>2025-09-03 11:20</c:v>
                </c:pt>
                <c:pt idx="68">
                  <c:v>2025-09-03 11:30</c:v>
                </c:pt>
                <c:pt idx="69">
                  <c:v>2025-09-03 11:30</c:v>
                </c:pt>
                <c:pt idx="70">
                  <c:v>2025-09-03 15:05</c:v>
                </c:pt>
                <c:pt idx="71">
                  <c:v>2025-09-03 15:50</c:v>
                </c:pt>
                <c:pt idx="72">
                  <c:v>2025-09-03 15:50</c:v>
                </c:pt>
                <c:pt idx="73">
                  <c:v>2025-09-04 10:00</c:v>
                </c:pt>
                <c:pt idx="74">
                  <c:v>2025-09-04 10:05</c:v>
                </c:pt>
                <c:pt idx="75">
                  <c:v>2025-09-04 10:05</c:v>
                </c:pt>
                <c:pt idx="76">
                  <c:v>2025-09-04 10:20</c:v>
                </c:pt>
                <c:pt idx="77">
                  <c:v>2025-09-04 10:20</c:v>
                </c:pt>
                <c:pt idx="78">
                  <c:v>2025-09-04 10:35</c:v>
                </c:pt>
                <c:pt idx="79">
                  <c:v>2025-09-04 14:00</c:v>
                </c:pt>
                <c:pt idx="80">
                  <c:v>2025-09-04 14:30</c:v>
                </c:pt>
                <c:pt idx="81">
                  <c:v>2025-09-04 14:30</c:v>
                </c:pt>
                <c:pt idx="82">
                  <c:v>2025-09-05 10:00</c:v>
                </c:pt>
                <c:pt idx="83">
                  <c:v>2025-09-05 10:05</c:v>
                </c:pt>
                <c:pt idx="84">
                  <c:v>2025-09-05 10:20</c:v>
                </c:pt>
                <c:pt idx="85">
                  <c:v>2025-09-05 10:50</c:v>
                </c:pt>
                <c:pt idx="86">
                  <c:v>2025-09-05 10:50</c:v>
                </c:pt>
                <c:pt idx="87">
                  <c:v>2025-09-05 11:10</c:v>
                </c:pt>
                <c:pt idx="88">
                  <c:v>2025-09-05 11:10</c:v>
                </c:pt>
                <c:pt idx="89">
                  <c:v>2025-09-05 11:15</c:v>
                </c:pt>
                <c:pt idx="90">
                  <c:v>2025-09-05 11:25</c:v>
                </c:pt>
                <c:pt idx="91">
                  <c:v>2025-09-05 11:25</c:v>
                </c:pt>
                <c:pt idx="92">
                  <c:v>2025-09-05 14:00</c:v>
                </c:pt>
                <c:pt idx="93">
                  <c:v>2025-09-05 15:05</c:v>
                </c:pt>
                <c:pt idx="94">
                  <c:v>2025-09-05 15:05</c:v>
                </c:pt>
                <c:pt idx="95">
                  <c:v>2025-09-05 15:40</c:v>
                </c:pt>
                <c:pt idx="96">
                  <c:v>2025-09-08 10:40</c:v>
                </c:pt>
                <c:pt idx="97">
                  <c:v>2025-09-08 11:20</c:v>
                </c:pt>
                <c:pt idx="98">
                  <c:v>2025-09-08 13:55</c:v>
                </c:pt>
                <c:pt idx="99">
                  <c:v>2025-09-08 13:55</c:v>
                </c:pt>
                <c:pt idx="100">
                  <c:v>2025-09-08 14:10</c:v>
                </c:pt>
                <c:pt idx="101">
                  <c:v>2025-09-08 14:10</c:v>
                </c:pt>
                <c:pt idx="102">
                  <c:v>2025-09-08 14:10</c:v>
                </c:pt>
                <c:pt idx="103">
                  <c:v>2025-09-08 15:55</c:v>
                </c:pt>
                <c:pt idx="104">
                  <c:v>2025-09-08 15:55</c:v>
                </c:pt>
                <c:pt idx="105">
                  <c:v>2025-09-08 16:15</c:v>
                </c:pt>
                <c:pt idx="106">
                  <c:v>2025-09-09 10:15</c:v>
                </c:pt>
                <c:pt idx="107">
                  <c:v>2025-09-09 13:55</c:v>
                </c:pt>
                <c:pt idx="108">
                  <c:v>2025-09-09 13:55</c:v>
                </c:pt>
                <c:pt idx="109">
                  <c:v>2025-09-09 14:10</c:v>
                </c:pt>
                <c:pt idx="110">
                  <c:v>2025-09-09 14:35</c:v>
                </c:pt>
                <c:pt idx="111">
                  <c:v>2025-09-09 14:35</c:v>
                </c:pt>
                <c:pt idx="112">
                  <c:v>2025-09-09 16:25</c:v>
                </c:pt>
                <c:pt idx="113">
                  <c:v>2025-09-10 10:05</c:v>
                </c:pt>
                <c:pt idx="114">
                  <c:v>2025-09-10 10:15</c:v>
                </c:pt>
                <c:pt idx="115">
                  <c:v>2025-09-10 10:15</c:v>
                </c:pt>
                <c:pt idx="116">
                  <c:v>2025-09-10 10:20</c:v>
                </c:pt>
                <c:pt idx="117">
                  <c:v>2025-09-10 13:55</c:v>
                </c:pt>
                <c:pt idx="118">
                  <c:v>2025-09-10 13:55</c:v>
                </c:pt>
                <c:pt idx="119">
                  <c:v>2025-09-10 14:00</c:v>
                </c:pt>
                <c:pt idx="120">
                  <c:v>2025-09-10 14:55</c:v>
                </c:pt>
                <c:pt idx="121">
                  <c:v>2025-09-10 14:55</c:v>
                </c:pt>
                <c:pt idx="122">
                  <c:v>2025-09-10 15:00</c:v>
                </c:pt>
                <c:pt idx="123">
                  <c:v>2025-09-10 15:00</c:v>
                </c:pt>
                <c:pt idx="124">
                  <c:v>2025-09-11 10:25</c:v>
                </c:pt>
                <c:pt idx="125">
                  <c:v>2025-09-11 10:25</c:v>
                </c:pt>
                <c:pt idx="126">
                  <c:v>2025-09-11 10:30</c:v>
                </c:pt>
                <c:pt idx="127">
                  <c:v>2025-09-11 11:10</c:v>
                </c:pt>
                <c:pt idx="128">
                  <c:v>2025-09-11 11:10</c:v>
                </c:pt>
              </c:strCache>
            </c:strRef>
          </c:cat>
          <c:val>
            <c:numRef>
              <c:f>events!$J$218:$J$346</c:f>
              <c:numCache>
                <c:formatCode>General</c:formatCode>
                <c:ptCount val="129"/>
                <c:pt idx="0">
                  <c:v>0</c:v>
                </c:pt>
                <c:pt idx="1">
                  <c:v>0</c:v>
                </c:pt>
                <c:pt idx="2">
                  <c:v>-0.65359477124183007</c:v>
                </c:pt>
                <c:pt idx="3">
                  <c:v>-0.65359477124183007</c:v>
                </c:pt>
                <c:pt idx="4">
                  <c:v>-1.3071895424836599</c:v>
                </c:pt>
                <c:pt idx="5">
                  <c:v>-1.3071895424836599</c:v>
                </c:pt>
                <c:pt idx="6">
                  <c:v>-1.3071895424836599</c:v>
                </c:pt>
                <c:pt idx="7">
                  <c:v>-0.6578947368421052</c:v>
                </c:pt>
                <c:pt idx="8">
                  <c:v>-0.6578947368421052</c:v>
                </c:pt>
                <c:pt idx="9">
                  <c:v>-0.6578947368421052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-0.66666666666666674</c:v>
                </c:pt>
                <c:pt idx="14">
                  <c:v>-0.66666666666666674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1.3513513513513511</c:v>
                </c:pt>
                <c:pt idx="22">
                  <c:v>0</c:v>
                </c:pt>
                <c:pt idx="23">
                  <c:v>0.67567567567567566</c:v>
                </c:pt>
                <c:pt idx="24">
                  <c:v>0.68027210884353739</c:v>
                </c:pt>
                <c:pt idx="25">
                  <c:v>0.68027210884353739</c:v>
                </c:pt>
                <c:pt idx="26">
                  <c:v>0.68027210884353739</c:v>
                </c:pt>
                <c:pt idx="27">
                  <c:v>1.3698630136986301</c:v>
                </c:pt>
                <c:pt idx="28">
                  <c:v>0</c:v>
                </c:pt>
                <c:pt idx="29">
                  <c:v>0</c:v>
                </c:pt>
                <c:pt idx="30">
                  <c:v>-0.68027210884353739</c:v>
                </c:pt>
                <c:pt idx="31">
                  <c:v>-0.68027210884353739</c:v>
                </c:pt>
                <c:pt idx="32">
                  <c:v>-0.68027210884353739</c:v>
                </c:pt>
                <c:pt idx="33">
                  <c:v>0.69444444444444442</c:v>
                </c:pt>
                <c:pt idx="34">
                  <c:v>1.398601398601399</c:v>
                </c:pt>
                <c:pt idx="35">
                  <c:v>0</c:v>
                </c:pt>
                <c:pt idx="36">
                  <c:v>-0.68493150684931503</c:v>
                </c:pt>
                <c:pt idx="37">
                  <c:v>-0.68493150684931503</c:v>
                </c:pt>
                <c:pt idx="38">
                  <c:v>0.68965517241379315</c:v>
                </c:pt>
                <c:pt idx="39">
                  <c:v>-0.68493150684931503</c:v>
                </c:pt>
                <c:pt idx="40">
                  <c:v>0</c:v>
                </c:pt>
                <c:pt idx="41">
                  <c:v>-1.360544217687075</c:v>
                </c:pt>
                <c:pt idx="42">
                  <c:v>-1.360544217687075</c:v>
                </c:pt>
                <c:pt idx="43">
                  <c:v>1.418439716312057</c:v>
                </c:pt>
                <c:pt idx="44">
                  <c:v>1.418439716312057</c:v>
                </c:pt>
                <c:pt idx="45">
                  <c:v>1.418439716312057</c:v>
                </c:pt>
                <c:pt idx="46">
                  <c:v>1.3888888888888891</c:v>
                </c:pt>
                <c:pt idx="47">
                  <c:v>1.3888888888888891</c:v>
                </c:pt>
                <c:pt idx="48">
                  <c:v>1.3888888888888891</c:v>
                </c:pt>
                <c:pt idx="49">
                  <c:v>0.68965517241379315</c:v>
                </c:pt>
                <c:pt idx="50">
                  <c:v>0.68965517241379315</c:v>
                </c:pt>
                <c:pt idx="51">
                  <c:v>0</c:v>
                </c:pt>
                <c:pt idx="52">
                  <c:v>-0.68493150684931503</c:v>
                </c:pt>
                <c:pt idx="53">
                  <c:v>-0.68493150684931503</c:v>
                </c:pt>
                <c:pt idx="54">
                  <c:v>0</c:v>
                </c:pt>
                <c:pt idx="55">
                  <c:v>0.69444444444444442</c:v>
                </c:pt>
                <c:pt idx="56">
                  <c:v>0.69444444444444442</c:v>
                </c:pt>
                <c:pt idx="57">
                  <c:v>0</c:v>
                </c:pt>
                <c:pt idx="58">
                  <c:v>0</c:v>
                </c:pt>
                <c:pt idx="59">
                  <c:v>-0.68965517241379315</c:v>
                </c:pt>
                <c:pt idx="60">
                  <c:v>-0.68965517241379315</c:v>
                </c:pt>
                <c:pt idx="61">
                  <c:v>-0.68965517241379315</c:v>
                </c:pt>
                <c:pt idx="62">
                  <c:v>1.3888888888888891</c:v>
                </c:pt>
                <c:pt idx="63">
                  <c:v>0.68965517241379315</c:v>
                </c:pt>
                <c:pt idx="64">
                  <c:v>0.68965517241379315</c:v>
                </c:pt>
                <c:pt idx="65">
                  <c:v>0.68493150684931503</c:v>
                </c:pt>
                <c:pt idx="66">
                  <c:v>1.3698630136986301</c:v>
                </c:pt>
                <c:pt idx="67">
                  <c:v>1.3698630136986301</c:v>
                </c:pt>
                <c:pt idx="68">
                  <c:v>0.68027210884353739</c:v>
                </c:pt>
                <c:pt idx="69">
                  <c:v>0.68027210884353739</c:v>
                </c:pt>
                <c:pt idx="70">
                  <c:v>0</c:v>
                </c:pt>
                <c:pt idx="71">
                  <c:v>4.7619047619047619</c:v>
                </c:pt>
                <c:pt idx="72">
                  <c:v>4.7619047619047619</c:v>
                </c:pt>
                <c:pt idx="73">
                  <c:v>1.324503311258278</c:v>
                </c:pt>
                <c:pt idx="74">
                  <c:v>0</c:v>
                </c:pt>
                <c:pt idx="75">
                  <c:v>0</c:v>
                </c:pt>
                <c:pt idx="76">
                  <c:v>-1.948051948051948</c:v>
                </c:pt>
                <c:pt idx="77">
                  <c:v>-1.948051948051948</c:v>
                </c:pt>
                <c:pt idx="78">
                  <c:v>-1.2987012987012989</c:v>
                </c:pt>
                <c:pt idx="79">
                  <c:v>0.66666666666666674</c:v>
                </c:pt>
                <c:pt idx="80">
                  <c:v>0</c:v>
                </c:pt>
                <c:pt idx="81">
                  <c:v>0</c:v>
                </c:pt>
                <c:pt idx="82">
                  <c:v>0.67114093959731547</c:v>
                </c:pt>
                <c:pt idx="83">
                  <c:v>0.66666666666666674</c:v>
                </c:pt>
                <c:pt idx="84">
                  <c:v>1.324503311258278</c:v>
                </c:pt>
                <c:pt idx="85">
                  <c:v>0.66225165562913912</c:v>
                </c:pt>
                <c:pt idx="86">
                  <c:v>0.66225165562913912</c:v>
                </c:pt>
                <c:pt idx="87">
                  <c:v>0.66225165562913912</c:v>
                </c:pt>
                <c:pt idx="88">
                  <c:v>0.66225165562913912</c:v>
                </c:pt>
                <c:pt idx="89">
                  <c:v>-0.65359477124183007</c:v>
                </c:pt>
                <c:pt idx="90">
                  <c:v>-0.65359477124183007</c:v>
                </c:pt>
                <c:pt idx="91">
                  <c:v>-0.65359477124183007</c:v>
                </c:pt>
                <c:pt idx="92">
                  <c:v>0.65359477124183007</c:v>
                </c:pt>
                <c:pt idx="93">
                  <c:v>0</c:v>
                </c:pt>
                <c:pt idx="94">
                  <c:v>0</c:v>
                </c:pt>
                <c:pt idx="96">
                  <c:v>-0.64516129032258063</c:v>
                </c:pt>
                <c:pt idx="97">
                  <c:v>0.65359477124183007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0.65359477124183007</c:v>
                </c:pt>
                <c:pt idx="104">
                  <c:v>0.65359477124183007</c:v>
                </c:pt>
                <c:pt idx="105">
                  <c:v>1.324503311258278</c:v>
                </c:pt>
                <c:pt idx="106">
                  <c:v>-0.64935064935064934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-1.3071895424836599</c:v>
                </c:pt>
                <c:pt idx="113">
                  <c:v>-0.6578947368421052</c:v>
                </c:pt>
                <c:pt idx="114">
                  <c:v>-0.65359477124183007</c:v>
                </c:pt>
                <c:pt idx="115">
                  <c:v>-0.65359477124183007</c:v>
                </c:pt>
                <c:pt idx="116">
                  <c:v>-0.6578947368421052</c:v>
                </c:pt>
                <c:pt idx="117">
                  <c:v>0</c:v>
                </c:pt>
                <c:pt idx="118">
                  <c:v>0</c:v>
                </c:pt>
                <c:pt idx="119">
                  <c:v>0.66666666666666674</c:v>
                </c:pt>
                <c:pt idx="120">
                  <c:v>0</c:v>
                </c:pt>
                <c:pt idx="121">
                  <c:v>0</c:v>
                </c:pt>
                <c:pt idx="122">
                  <c:v>0.66225165562913912</c:v>
                </c:pt>
                <c:pt idx="123">
                  <c:v>0.66225165562913912</c:v>
                </c:pt>
                <c:pt idx="124">
                  <c:v>-1.9736842105263159</c:v>
                </c:pt>
                <c:pt idx="125">
                  <c:v>-1.9736842105263159</c:v>
                </c:pt>
                <c:pt idx="126">
                  <c:v>-1.324503311258278</c:v>
                </c:pt>
                <c:pt idx="127">
                  <c:v>-0.66225165562913912</c:v>
                </c:pt>
                <c:pt idx="128">
                  <c:v>-0.66225165562913912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7-4B79-9A38-17AF581B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833663"/>
        <c:axId val="288831583"/>
      </c:lineChart>
      <c:catAx>
        <c:axId val="28883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88835743"/>
        <c:crosses val="autoZero"/>
        <c:auto val="1"/>
        <c:lblAlgn val="ctr"/>
        <c:lblOffset val="100"/>
        <c:noMultiLvlLbl val="0"/>
      </c:catAx>
      <c:valAx>
        <c:axId val="2888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88831167"/>
        <c:crosses val="autoZero"/>
        <c:crossBetween val="between"/>
      </c:valAx>
      <c:valAx>
        <c:axId val="288831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88833663"/>
        <c:crosses val="max"/>
        <c:crossBetween val="between"/>
      </c:valAx>
      <c:catAx>
        <c:axId val="28883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8831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events!$B$218:$B$346</c:f>
              <c:strCache>
                <c:ptCount val="129"/>
                <c:pt idx="0">
                  <c:v>2025-08-25 10:00</c:v>
                </c:pt>
                <c:pt idx="1">
                  <c:v>2025-08-25 10:00</c:v>
                </c:pt>
                <c:pt idx="2">
                  <c:v>2025-08-25 10:10</c:v>
                </c:pt>
                <c:pt idx="3">
                  <c:v>2025-08-25 10:10</c:v>
                </c:pt>
                <c:pt idx="4">
                  <c:v>2025-08-25 12:20</c:v>
                </c:pt>
                <c:pt idx="5">
                  <c:v>2025-08-25 12:20</c:v>
                </c:pt>
                <c:pt idx="6">
                  <c:v>2025-08-25 12:20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15:10</c:v>
                </c:pt>
                <c:pt idx="10">
                  <c:v>2025-08-26 10:05</c:v>
                </c:pt>
                <c:pt idx="11">
                  <c:v>2025-08-26 10:05</c:v>
                </c:pt>
                <c:pt idx="12">
                  <c:v>2025-08-26 10:25</c:v>
                </c:pt>
                <c:pt idx="13">
                  <c:v>2025-08-26 10:40</c:v>
                </c:pt>
                <c:pt idx="14">
                  <c:v>2025-08-26 10:40</c:v>
                </c:pt>
                <c:pt idx="15">
                  <c:v>2025-08-26 14:10</c:v>
                </c:pt>
                <c:pt idx="16">
                  <c:v>2025-08-26 14:10</c:v>
                </c:pt>
                <c:pt idx="17">
                  <c:v>2025-08-26 14:30</c:v>
                </c:pt>
                <c:pt idx="18">
                  <c:v>2025-08-26 14:30</c:v>
                </c:pt>
                <c:pt idx="19">
                  <c:v>2025-08-26 14:40</c:v>
                </c:pt>
                <c:pt idx="20">
                  <c:v>2025-08-27 10:35</c:v>
                </c:pt>
                <c:pt idx="21">
                  <c:v>2025-08-27 10:55</c:v>
                </c:pt>
                <c:pt idx="22">
                  <c:v>2025-08-27 11:05</c:v>
                </c:pt>
                <c:pt idx="23">
                  <c:v>2025-08-27 14:05</c:v>
                </c:pt>
                <c:pt idx="24">
                  <c:v>2025-08-27 15:35</c:v>
                </c:pt>
                <c:pt idx="25">
                  <c:v>2025-08-27 15:40</c:v>
                </c:pt>
                <c:pt idx="26">
                  <c:v>2025-08-27 15:40</c:v>
                </c:pt>
                <c:pt idx="27">
                  <c:v>2025-08-27 15:45</c:v>
                </c:pt>
                <c:pt idx="28">
                  <c:v>2025-08-28 12:10</c:v>
                </c:pt>
                <c:pt idx="29">
                  <c:v>2025-08-28 14:15</c:v>
                </c:pt>
                <c:pt idx="30">
                  <c:v>2025-08-28 15:40</c:v>
                </c:pt>
                <c:pt idx="31">
                  <c:v>2025-08-28 15:40</c:v>
                </c:pt>
                <c:pt idx="32">
                  <c:v>2025-08-28 15:50</c:v>
                </c:pt>
                <c:pt idx="33">
                  <c:v>2025-08-29 10:40</c:v>
                </c:pt>
                <c:pt idx="34">
                  <c:v>2025-08-29 10:45</c:v>
                </c:pt>
                <c:pt idx="35">
                  <c:v>2025-08-29 10:50</c:v>
                </c:pt>
                <c:pt idx="36">
                  <c:v>2025-08-29 14:10</c:v>
                </c:pt>
                <c:pt idx="37">
                  <c:v>2025-08-29 14:10</c:v>
                </c:pt>
                <c:pt idx="38">
                  <c:v>2025-08-29 14:30</c:v>
                </c:pt>
                <c:pt idx="39">
                  <c:v>2025-08-29 14:45</c:v>
                </c:pt>
                <c:pt idx="40">
                  <c:v>2025-08-29 15:10</c:v>
                </c:pt>
                <c:pt idx="41">
                  <c:v>2025-08-29 15:20</c:v>
                </c:pt>
                <c:pt idx="42">
                  <c:v>2025-08-29 15:20</c:v>
                </c:pt>
                <c:pt idx="43">
                  <c:v>2025-09-01 10:00</c:v>
                </c:pt>
                <c:pt idx="44">
                  <c:v>2025-09-01 10:05</c:v>
                </c:pt>
                <c:pt idx="45">
                  <c:v>2025-09-01 10:05</c:v>
                </c:pt>
                <c:pt idx="46">
                  <c:v>2025-09-01 12:20</c:v>
                </c:pt>
                <c:pt idx="47">
                  <c:v>2025-09-01 12:20</c:v>
                </c:pt>
                <c:pt idx="48">
                  <c:v>2025-09-01 12:20</c:v>
                </c:pt>
                <c:pt idx="49">
                  <c:v>2025-09-01 14:15</c:v>
                </c:pt>
                <c:pt idx="50">
                  <c:v>2025-09-01 14:15</c:v>
                </c:pt>
                <c:pt idx="51">
                  <c:v>2025-09-01 14:20</c:v>
                </c:pt>
                <c:pt idx="52">
                  <c:v>2025-09-01 16:10</c:v>
                </c:pt>
                <c:pt idx="53">
                  <c:v>2025-09-01 16:10</c:v>
                </c:pt>
                <c:pt idx="54">
                  <c:v>2025-09-01 16:20</c:v>
                </c:pt>
                <c:pt idx="55">
                  <c:v>2025-09-01 16:25</c:v>
                </c:pt>
                <c:pt idx="56">
                  <c:v>2025-09-01 16:25</c:v>
                </c:pt>
                <c:pt idx="57">
                  <c:v>2025-09-02 10:15</c:v>
                </c:pt>
                <c:pt idx="58">
                  <c:v>2025-09-02 10:15</c:v>
                </c:pt>
                <c:pt idx="59">
                  <c:v>2025-09-02 10:20</c:v>
                </c:pt>
                <c:pt idx="60">
                  <c:v>2025-09-02 10:20</c:v>
                </c:pt>
                <c:pt idx="61">
                  <c:v>2025-09-02 10:50</c:v>
                </c:pt>
                <c:pt idx="62">
                  <c:v>2025-09-02 16:05</c:v>
                </c:pt>
                <c:pt idx="63">
                  <c:v>2025-09-03 10:05</c:v>
                </c:pt>
                <c:pt idx="64">
                  <c:v>2025-09-03 10:05</c:v>
                </c:pt>
                <c:pt idx="65">
                  <c:v>2025-09-03 10:45</c:v>
                </c:pt>
                <c:pt idx="66">
                  <c:v>2025-09-03 11:20</c:v>
                </c:pt>
                <c:pt idx="67">
                  <c:v>2025-09-03 11:20</c:v>
                </c:pt>
                <c:pt idx="68">
                  <c:v>2025-09-03 11:30</c:v>
                </c:pt>
                <c:pt idx="69">
                  <c:v>2025-09-03 11:30</c:v>
                </c:pt>
                <c:pt idx="70">
                  <c:v>2025-09-03 15:05</c:v>
                </c:pt>
                <c:pt idx="71">
                  <c:v>2025-09-03 15:50</c:v>
                </c:pt>
                <c:pt idx="72">
                  <c:v>2025-09-03 15:50</c:v>
                </c:pt>
                <c:pt idx="73">
                  <c:v>2025-09-04 10:00</c:v>
                </c:pt>
                <c:pt idx="74">
                  <c:v>2025-09-04 10:05</c:v>
                </c:pt>
                <c:pt idx="75">
                  <c:v>2025-09-04 10:05</c:v>
                </c:pt>
                <c:pt idx="76">
                  <c:v>2025-09-04 10:20</c:v>
                </c:pt>
                <c:pt idx="77">
                  <c:v>2025-09-04 10:20</c:v>
                </c:pt>
                <c:pt idx="78">
                  <c:v>2025-09-04 10:35</c:v>
                </c:pt>
                <c:pt idx="79">
                  <c:v>2025-09-04 14:00</c:v>
                </c:pt>
                <c:pt idx="80">
                  <c:v>2025-09-04 14:30</c:v>
                </c:pt>
                <c:pt idx="81">
                  <c:v>2025-09-04 14:30</c:v>
                </c:pt>
                <c:pt idx="82">
                  <c:v>2025-09-05 10:00</c:v>
                </c:pt>
                <c:pt idx="83">
                  <c:v>2025-09-05 10:05</c:v>
                </c:pt>
                <c:pt idx="84">
                  <c:v>2025-09-05 10:20</c:v>
                </c:pt>
                <c:pt idx="85">
                  <c:v>2025-09-05 10:50</c:v>
                </c:pt>
                <c:pt idx="86">
                  <c:v>2025-09-05 10:50</c:v>
                </c:pt>
                <c:pt idx="87">
                  <c:v>2025-09-05 11:10</c:v>
                </c:pt>
                <c:pt idx="88">
                  <c:v>2025-09-05 11:10</c:v>
                </c:pt>
                <c:pt idx="89">
                  <c:v>2025-09-05 11:15</c:v>
                </c:pt>
                <c:pt idx="90">
                  <c:v>2025-09-05 11:25</c:v>
                </c:pt>
                <c:pt idx="91">
                  <c:v>2025-09-05 11:25</c:v>
                </c:pt>
                <c:pt idx="92">
                  <c:v>2025-09-05 14:00</c:v>
                </c:pt>
                <c:pt idx="93">
                  <c:v>2025-09-05 15:05</c:v>
                </c:pt>
                <c:pt idx="94">
                  <c:v>2025-09-05 15:05</c:v>
                </c:pt>
                <c:pt idx="95">
                  <c:v>2025-09-05 15:40</c:v>
                </c:pt>
                <c:pt idx="96">
                  <c:v>2025-09-08 10:40</c:v>
                </c:pt>
                <c:pt idx="97">
                  <c:v>2025-09-08 11:20</c:v>
                </c:pt>
                <c:pt idx="98">
                  <c:v>2025-09-08 13:55</c:v>
                </c:pt>
                <c:pt idx="99">
                  <c:v>2025-09-08 13:55</c:v>
                </c:pt>
                <c:pt idx="100">
                  <c:v>2025-09-08 14:10</c:v>
                </c:pt>
                <c:pt idx="101">
                  <c:v>2025-09-08 14:10</c:v>
                </c:pt>
                <c:pt idx="102">
                  <c:v>2025-09-08 14:10</c:v>
                </c:pt>
                <c:pt idx="103">
                  <c:v>2025-09-08 15:55</c:v>
                </c:pt>
                <c:pt idx="104">
                  <c:v>2025-09-08 15:55</c:v>
                </c:pt>
                <c:pt idx="105">
                  <c:v>2025-09-08 16:15</c:v>
                </c:pt>
                <c:pt idx="106">
                  <c:v>2025-09-09 10:15</c:v>
                </c:pt>
                <c:pt idx="107">
                  <c:v>2025-09-09 13:55</c:v>
                </c:pt>
                <c:pt idx="108">
                  <c:v>2025-09-09 13:55</c:v>
                </c:pt>
                <c:pt idx="109">
                  <c:v>2025-09-09 14:10</c:v>
                </c:pt>
                <c:pt idx="110">
                  <c:v>2025-09-09 14:35</c:v>
                </c:pt>
                <c:pt idx="111">
                  <c:v>2025-09-09 14:35</c:v>
                </c:pt>
                <c:pt idx="112">
                  <c:v>2025-09-09 16:25</c:v>
                </c:pt>
                <c:pt idx="113">
                  <c:v>2025-09-10 10:05</c:v>
                </c:pt>
                <c:pt idx="114">
                  <c:v>2025-09-10 10:15</c:v>
                </c:pt>
                <c:pt idx="115">
                  <c:v>2025-09-10 10:15</c:v>
                </c:pt>
                <c:pt idx="116">
                  <c:v>2025-09-10 10:20</c:v>
                </c:pt>
                <c:pt idx="117">
                  <c:v>2025-09-10 13:55</c:v>
                </c:pt>
                <c:pt idx="118">
                  <c:v>2025-09-10 13:55</c:v>
                </c:pt>
                <c:pt idx="119">
                  <c:v>2025-09-10 14:00</c:v>
                </c:pt>
                <c:pt idx="120">
                  <c:v>2025-09-10 14:55</c:v>
                </c:pt>
                <c:pt idx="121">
                  <c:v>2025-09-10 14:55</c:v>
                </c:pt>
                <c:pt idx="122">
                  <c:v>2025-09-10 15:00</c:v>
                </c:pt>
                <c:pt idx="123">
                  <c:v>2025-09-10 15:00</c:v>
                </c:pt>
                <c:pt idx="124">
                  <c:v>2025-09-11 10:25</c:v>
                </c:pt>
                <c:pt idx="125">
                  <c:v>2025-09-11 10:25</c:v>
                </c:pt>
                <c:pt idx="126">
                  <c:v>2025-09-11 10:30</c:v>
                </c:pt>
                <c:pt idx="127">
                  <c:v>2025-09-11 11:10</c:v>
                </c:pt>
                <c:pt idx="128">
                  <c:v>2025-09-11 11:10</c:v>
                </c:pt>
              </c:strCache>
            </c:strRef>
          </c:cat>
          <c:val>
            <c:numRef>
              <c:f>events!$E$218:$E$346</c:f>
              <c:numCache>
                <c:formatCode>General</c:formatCode>
                <c:ptCount val="129"/>
                <c:pt idx="0">
                  <c:v>38.25</c:v>
                </c:pt>
                <c:pt idx="1">
                  <c:v>38.25</c:v>
                </c:pt>
                <c:pt idx="2">
                  <c:v>38.25</c:v>
                </c:pt>
                <c:pt idx="3">
                  <c:v>38.25</c:v>
                </c:pt>
                <c:pt idx="4">
                  <c:v>38.25</c:v>
                </c:pt>
                <c:pt idx="5">
                  <c:v>38.25</c:v>
                </c:pt>
                <c:pt idx="6">
                  <c:v>38.25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37.25</c:v>
                </c:pt>
                <c:pt idx="16">
                  <c:v>37.25</c:v>
                </c:pt>
                <c:pt idx="17">
                  <c:v>37.25</c:v>
                </c:pt>
                <c:pt idx="18">
                  <c:v>37.25</c:v>
                </c:pt>
                <c:pt idx="19">
                  <c:v>37.25</c:v>
                </c:pt>
                <c:pt idx="20">
                  <c:v>37.5</c:v>
                </c:pt>
                <c:pt idx="21">
                  <c:v>37</c:v>
                </c:pt>
                <c:pt idx="22">
                  <c:v>37.5</c:v>
                </c:pt>
                <c:pt idx="23">
                  <c:v>37</c:v>
                </c:pt>
                <c:pt idx="24">
                  <c:v>36.75</c:v>
                </c:pt>
                <c:pt idx="25">
                  <c:v>36.75</c:v>
                </c:pt>
                <c:pt idx="26">
                  <c:v>36.75</c:v>
                </c:pt>
                <c:pt idx="27">
                  <c:v>36.5</c:v>
                </c:pt>
                <c:pt idx="28">
                  <c:v>36.75</c:v>
                </c:pt>
                <c:pt idx="29">
                  <c:v>36.75</c:v>
                </c:pt>
                <c:pt idx="30">
                  <c:v>36.75</c:v>
                </c:pt>
                <c:pt idx="31">
                  <c:v>36.75</c:v>
                </c:pt>
                <c:pt idx="32">
                  <c:v>36.75</c:v>
                </c:pt>
                <c:pt idx="33">
                  <c:v>36</c:v>
                </c:pt>
                <c:pt idx="34">
                  <c:v>35.75</c:v>
                </c:pt>
                <c:pt idx="35">
                  <c:v>36.25</c:v>
                </c:pt>
                <c:pt idx="36">
                  <c:v>36.5</c:v>
                </c:pt>
                <c:pt idx="37">
                  <c:v>36.5</c:v>
                </c:pt>
                <c:pt idx="38">
                  <c:v>36.25</c:v>
                </c:pt>
                <c:pt idx="39">
                  <c:v>36.5</c:v>
                </c:pt>
                <c:pt idx="40">
                  <c:v>36.25</c:v>
                </c:pt>
                <c:pt idx="41">
                  <c:v>36.75</c:v>
                </c:pt>
                <c:pt idx="42">
                  <c:v>36.75</c:v>
                </c:pt>
                <c:pt idx="43">
                  <c:v>35.25</c:v>
                </c:pt>
                <c:pt idx="44">
                  <c:v>35.25</c:v>
                </c:pt>
                <c:pt idx="45">
                  <c:v>35.25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36.25</c:v>
                </c:pt>
                <c:pt idx="50">
                  <c:v>36.25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36.25</c:v>
                </c:pt>
                <c:pt idx="55">
                  <c:v>36</c:v>
                </c:pt>
                <c:pt idx="56">
                  <c:v>36</c:v>
                </c:pt>
                <c:pt idx="57">
                  <c:v>36.25</c:v>
                </c:pt>
                <c:pt idx="58">
                  <c:v>36.25</c:v>
                </c:pt>
                <c:pt idx="59">
                  <c:v>36.25</c:v>
                </c:pt>
                <c:pt idx="60">
                  <c:v>36.25</c:v>
                </c:pt>
                <c:pt idx="61">
                  <c:v>36.25</c:v>
                </c:pt>
                <c:pt idx="62">
                  <c:v>36</c:v>
                </c:pt>
                <c:pt idx="63">
                  <c:v>36.25</c:v>
                </c:pt>
                <c:pt idx="64">
                  <c:v>36.25</c:v>
                </c:pt>
                <c:pt idx="65">
                  <c:v>36.5</c:v>
                </c:pt>
                <c:pt idx="66">
                  <c:v>36.5</c:v>
                </c:pt>
                <c:pt idx="67">
                  <c:v>36.5</c:v>
                </c:pt>
                <c:pt idx="68">
                  <c:v>36.75</c:v>
                </c:pt>
                <c:pt idx="69">
                  <c:v>36.75</c:v>
                </c:pt>
                <c:pt idx="70">
                  <c:v>36.75</c:v>
                </c:pt>
                <c:pt idx="71">
                  <c:v>36.75</c:v>
                </c:pt>
                <c:pt idx="72">
                  <c:v>36.75</c:v>
                </c:pt>
                <c:pt idx="73">
                  <c:v>37.75</c:v>
                </c:pt>
                <c:pt idx="74">
                  <c:v>38.25</c:v>
                </c:pt>
                <c:pt idx="75">
                  <c:v>38.25</c:v>
                </c:pt>
                <c:pt idx="76">
                  <c:v>38.5</c:v>
                </c:pt>
                <c:pt idx="77">
                  <c:v>38.5</c:v>
                </c:pt>
                <c:pt idx="78">
                  <c:v>38.5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37.25</c:v>
                </c:pt>
                <c:pt idx="83">
                  <c:v>37.5</c:v>
                </c:pt>
                <c:pt idx="84">
                  <c:v>37.75</c:v>
                </c:pt>
                <c:pt idx="85">
                  <c:v>37.75</c:v>
                </c:pt>
                <c:pt idx="86">
                  <c:v>37.75</c:v>
                </c:pt>
                <c:pt idx="87">
                  <c:v>37.75</c:v>
                </c:pt>
                <c:pt idx="88">
                  <c:v>37.75</c:v>
                </c:pt>
                <c:pt idx="89">
                  <c:v>38.25</c:v>
                </c:pt>
                <c:pt idx="90">
                  <c:v>38.25</c:v>
                </c:pt>
                <c:pt idx="91">
                  <c:v>38.25</c:v>
                </c:pt>
                <c:pt idx="92">
                  <c:v>38.25</c:v>
                </c:pt>
                <c:pt idx="93">
                  <c:v>38.5</c:v>
                </c:pt>
                <c:pt idx="94">
                  <c:v>38.5</c:v>
                </c:pt>
                <c:pt idx="95">
                  <c:v>38.25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38.25</c:v>
                </c:pt>
                <c:pt idx="104">
                  <c:v>38.25</c:v>
                </c:pt>
                <c:pt idx="105">
                  <c:v>37.75</c:v>
                </c:pt>
                <c:pt idx="106">
                  <c:v>38.5</c:v>
                </c:pt>
                <c:pt idx="107">
                  <c:v>38.25</c:v>
                </c:pt>
                <c:pt idx="108">
                  <c:v>38.25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38.25</c:v>
                </c:pt>
                <c:pt idx="113">
                  <c:v>38</c:v>
                </c:pt>
                <c:pt idx="114">
                  <c:v>38.25</c:v>
                </c:pt>
                <c:pt idx="115">
                  <c:v>38.25</c:v>
                </c:pt>
                <c:pt idx="116">
                  <c:v>38</c:v>
                </c:pt>
                <c:pt idx="117">
                  <c:v>37.75</c:v>
                </c:pt>
                <c:pt idx="118">
                  <c:v>37.75</c:v>
                </c:pt>
                <c:pt idx="119">
                  <c:v>37.5</c:v>
                </c:pt>
                <c:pt idx="120">
                  <c:v>37.75</c:v>
                </c:pt>
                <c:pt idx="121">
                  <c:v>37.75</c:v>
                </c:pt>
                <c:pt idx="122">
                  <c:v>37.75</c:v>
                </c:pt>
                <c:pt idx="123">
                  <c:v>37.75</c:v>
                </c:pt>
                <c:pt idx="124">
                  <c:v>38</c:v>
                </c:pt>
                <c:pt idx="125">
                  <c:v>38</c:v>
                </c:pt>
                <c:pt idx="126">
                  <c:v>37.75</c:v>
                </c:pt>
                <c:pt idx="127">
                  <c:v>37.75</c:v>
                </c:pt>
                <c:pt idx="128">
                  <c:v>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9-46A0-A9D9-E52CCAF7F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994575"/>
        <c:axId val="381008303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events!$B$218:$B$346</c:f>
              <c:strCache>
                <c:ptCount val="129"/>
                <c:pt idx="0">
                  <c:v>2025-08-25 10:00</c:v>
                </c:pt>
                <c:pt idx="1">
                  <c:v>2025-08-25 10:00</c:v>
                </c:pt>
                <c:pt idx="2">
                  <c:v>2025-08-25 10:10</c:v>
                </c:pt>
                <c:pt idx="3">
                  <c:v>2025-08-25 10:10</c:v>
                </c:pt>
                <c:pt idx="4">
                  <c:v>2025-08-25 12:20</c:v>
                </c:pt>
                <c:pt idx="5">
                  <c:v>2025-08-25 12:20</c:v>
                </c:pt>
                <c:pt idx="6">
                  <c:v>2025-08-25 12:20</c:v>
                </c:pt>
                <c:pt idx="7">
                  <c:v>2025-08-25 14:00</c:v>
                </c:pt>
                <c:pt idx="8">
                  <c:v>2025-08-25 14:00</c:v>
                </c:pt>
                <c:pt idx="9">
                  <c:v>2025-08-25 15:10</c:v>
                </c:pt>
                <c:pt idx="10">
                  <c:v>2025-08-26 10:05</c:v>
                </c:pt>
                <c:pt idx="11">
                  <c:v>2025-08-26 10:05</c:v>
                </c:pt>
                <c:pt idx="12">
                  <c:v>2025-08-26 10:25</c:v>
                </c:pt>
                <c:pt idx="13">
                  <c:v>2025-08-26 10:40</c:v>
                </c:pt>
                <c:pt idx="14">
                  <c:v>2025-08-26 10:40</c:v>
                </c:pt>
                <c:pt idx="15">
                  <c:v>2025-08-26 14:10</c:v>
                </c:pt>
                <c:pt idx="16">
                  <c:v>2025-08-26 14:10</c:v>
                </c:pt>
                <c:pt idx="17">
                  <c:v>2025-08-26 14:30</c:v>
                </c:pt>
                <c:pt idx="18">
                  <c:v>2025-08-26 14:30</c:v>
                </c:pt>
                <c:pt idx="19">
                  <c:v>2025-08-26 14:40</c:v>
                </c:pt>
                <c:pt idx="20">
                  <c:v>2025-08-27 10:35</c:v>
                </c:pt>
                <c:pt idx="21">
                  <c:v>2025-08-27 10:55</c:v>
                </c:pt>
                <c:pt idx="22">
                  <c:v>2025-08-27 11:05</c:v>
                </c:pt>
                <c:pt idx="23">
                  <c:v>2025-08-27 14:05</c:v>
                </c:pt>
                <c:pt idx="24">
                  <c:v>2025-08-27 15:35</c:v>
                </c:pt>
                <c:pt idx="25">
                  <c:v>2025-08-27 15:40</c:v>
                </c:pt>
                <c:pt idx="26">
                  <c:v>2025-08-27 15:40</c:v>
                </c:pt>
                <c:pt idx="27">
                  <c:v>2025-08-27 15:45</c:v>
                </c:pt>
                <c:pt idx="28">
                  <c:v>2025-08-28 12:10</c:v>
                </c:pt>
                <c:pt idx="29">
                  <c:v>2025-08-28 14:15</c:v>
                </c:pt>
                <c:pt idx="30">
                  <c:v>2025-08-28 15:40</c:v>
                </c:pt>
                <c:pt idx="31">
                  <c:v>2025-08-28 15:40</c:v>
                </c:pt>
                <c:pt idx="32">
                  <c:v>2025-08-28 15:50</c:v>
                </c:pt>
                <c:pt idx="33">
                  <c:v>2025-08-29 10:40</c:v>
                </c:pt>
                <c:pt idx="34">
                  <c:v>2025-08-29 10:45</c:v>
                </c:pt>
                <c:pt idx="35">
                  <c:v>2025-08-29 10:50</c:v>
                </c:pt>
                <c:pt idx="36">
                  <c:v>2025-08-29 14:10</c:v>
                </c:pt>
                <c:pt idx="37">
                  <c:v>2025-08-29 14:10</c:v>
                </c:pt>
                <c:pt idx="38">
                  <c:v>2025-08-29 14:30</c:v>
                </c:pt>
                <c:pt idx="39">
                  <c:v>2025-08-29 14:45</c:v>
                </c:pt>
                <c:pt idx="40">
                  <c:v>2025-08-29 15:10</c:v>
                </c:pt>
                <c:pt idx="41">
                  <c:v>2025-08-29 15:20</c:v>
                </c:pt>
                <c:pt idx="42">
                  <c:v>2025-08-29 15:20</c:v>
                </c:pt>
                <c:pt idx="43">
                  <c:v>2025-09-01 10:00</c:v>
                </c:pt>
                <c:pt idx="44">
                  <c:v>2025-09-01 10:05</c:v>
                </c:pt>
                <c:pt idx="45">
                  <c:v>2025-09-01 10:05</c:v>
                </c:pt>
                <c:pt idx="46">
                  <c:v>2025-09-01 12:20</c:v>
                </c:pt>
                <c:pt idx="47">
                  <c:v>2025-09-01 12:20</c:v>
                </c:pt>
                <c:pt idx="48">
                  <c:v>2025-09-01 12:20</c:v>
                </c:pt>
                <c:pt idx="49">
                  <c:v>2025-09-01 14:15</c:v>
                </c:pt>
                <c:pt idx="50">
                  <c:v>2025-09-01 14:15</c:v>
                </c:pt>
                <c:pt idx="51">
                  <c:v>2025-09-01 14:20</c:v>
                </c:pt>
                <c:pt idx="52">
                  <c:v>2025-09-01 16:10</c:v>
                </c:pt>
                <c:pt idx="53">
                  <c:v>2025-09-01 16:10</c:v>
                </c:pt>
                <c:pt idx="54">
                  <c:v>2025-09-01 16:20</c:v>
                </c:pt>
                <c:pt idx="55">
                  <c:v>2025-09-01 16:25</c:v>
                </c:pt>
                <c:pt idx="56">
                  <c:v>2025-09-01 16:25</c:v>
                </c:pt>
                <c:pt idx="57">
                  <c:v>2025-09-02 10:15</c:v>
                </c:pt>
                <c:pt idx="58">
                  <c:v>2025-09-02 10:15</c:v>
                </c:pt>
                <c:pt idx="59">
                  <c:v>2025-09-02 10:20</c:v>
                </c:pt>
                <c:pt idx="60">
                  <c:v>2025-09-02 10:20</c:v>
                </c:pt>
                <c:pt idx="61">
                  <c:v>2025-09-02 10:50</c:v>
                </c:pt>
                <c:pt idx="62">
                  <c:v>2025-09-02 16:05</c:v>
                </c:pt>
                <c:pt idx="63">
                  <c:v>2025-09-03 10:05</c:v>
                </c:pt>
                <c:pt idx="64">
                  <c:v>2025-09-03 10:05</c:v>
                </c:pt>
                <c:pt idx="65">
                  <c:v>2025-09-03 10:45</c:v>
                </c:pt>
                <c:pt idx="66">
                  <c:v>2025-09-03 11:20</c:v>
                </c:pt>
                <c:pt idx="67">
                  <c:v>2025-09-03 11:20</c:v>
                </c:pt>
                <c:pt idx="68">
                  <c:v>2025-09-03 11:30</c:v>
                </c:pt>
                <c:pt idx="69">
                  <c:v>2025-09-03 11:30</c:v>
                </c:pt>
                <c:pt idx="70">
                  <c:v>2025-09-03 15:05</c:v>
                </c:pt>
                <c:pt idx="71">
                  <c:v>2025-09-03 15:50</c:v>
                </c:pt>
                <c:pt idx="72">
                  <c:v>2025-09-03 15:50</c:v>
                </c:pt>
                <c:pt idx="73">
                  <c:v>2025-09-04 10:00</c:v>
                </c:pt>
                <c:pt idx="74">
                  <c:v>2025-09-04 10:05</c:v>
                </c:pt>
                <c:pt idx="75">
                  <c:v>2025-09-04 10:05</c:v>
                </c:pt>
                <c:pt idx="76">
                  <c:v>2025-09-04 10:20</c:v>
                </c:pt>
                <c:pt idx="77">
                  <c:v>2025-09-04 10:20</c:v>
                </c:pt>
                <c:pt idx="78">
                  <c:v>2025-09-04 10:35</c:v>
                </c:pt>
                <c:pt idx="79">
                  <c:v>2025-09-04 14:00</c:v>
                </c:pt>
                <c:pt idx="80">
                  <c:v>2025-09-04 14:30</c:v>
                </c:pt>
                <c:pt idx="81">
                  <c:v>2025-09-04 14:30</c:v>
                </c:pt>
                <c:pt idx="82">
                  <c:v>2025-09-05 10:00</c:v>
                </c:pt>
                <c:pt idx="83">
                  <c:v>2025-09-05 10:05</c:v>
                </c:pt>
                <c:pt idx="84">
                  <c:v>2025-09-05 10:20</c:v>
                </c:pt>
                <c:pt idx="85">
                  <c:v>2025-09-05 10:50</c:v>
                </c:pt>
                <c:pt idx="86">
                  <c:v>2025-09-05 10:50</c:v>
                </c:pt>
                <c:pt idx="87">
                  <c:v>2025-09-05 11:10</c:v>
                </c:pt>
                <c:pt idx="88">
                  <c:v>2025-09-05 11:10</c:v>
                </c:pt>
                <c:pt idx="89">
                  <c:v>2025-09-05 11:15</c:v>
                </c:pt>
                <c:pt idx="90">
                  <c:v>2025-09-05 11:25</c:v>
                </c:pt>
                <c:pt idx="91">
                  <c:v>2025-09-05 11:25</c:v>
                </c:pt>
                <c:pt idx="92">
                  <c:v>2025-09-05 14:00</c:v>
                </c:pt>
                <c:pt idx="93">
                  <c:v>2025-09-05 15:05</c:v>
                </c:pt>
                <c:pt idx="94">
                  <c:v>2025-09-05 15:05</c:v>
                </c:pt>
                <c:pt idx="95">
                  <c:v>2025-09-05 15:40</c:v>
                </c:pt>
                <c:pt idx="96">
                  <c:v>2025-09-08 10:40</c:v>
                </c:pt>
                <c:pt idx="97">
                  <c:v>2025-09-08 11:20</c:v>
                </c:pt>
                <c:pt idx="98">
                  <c:v>2025-09-08 13:55</c:v>
                </c:pt>
                <c:pt idx="99">
                  <c:v>2025-09-08 13:55</c:v>
                </c:pt>
                <c:pt idx="100">
                  <c:v>2025-09-08 14:10</c:v>
                </c:pt>
                <c:pt idx="101">
                  <c:v>2025-09-08 14:10</c:v>
                </c:pt>
                <c:pt idx="102">
                  <c:v>2025-09-08 14:10</c:v>
                </c:pt>
                <c:pt idx="103">
                  <c:v>2025-09-08 15:55</c:v>
                </c:pt>
                <c:pt idx="104">
                  <c:v>2025-09-08 15:55</c:v>
                </c:pt>
                <c:pt idx="105">
                  <c:v>2025-09-08 16:15</c:v>
                </c:pt>
                <c:pt idx="106">
                  <c:v>2025-09-09 10:15</c:v>
                </c:pt>
                <c:pt idx="107">
                  <c:v>2025-09-09 13:55</c:v>
                </c:pt>
                <c:pt idx="108">
                  <c:v>2025-09-09 13:55</c:v>
                </c:pt>
                <c:pt idx="109">
                  <c:v>2025-09-09 14:10</c:v>
                </c:pt>
                <c:pt idx="110">
                  <c:v>2025-09-09 14:35</c:v>
                </c:pt>
                <c:pt idx="111">
                  <c:v>2025-09-09 14:35</c:v>
                </c:pt>
                <c:pt idx="112">
                  <c:v>2025-09-09 16:25</c:v>
                </c:pt>
                <c:pt idx="113">
                  <c:v>2025-09-10 10:05</c:v>
                </c:pt>
                <c:pt idx="114">
                  <c:v>2025-09-10 10:15</c:v>
                </c:pt>
                <c:pt idx="115">
                  <c:v>2025-09-10 10:15</c:v>
                </c:pt>
                <c:pt idx="116">
                  <c:v>2025-09-10 10:20</c:v>
                </c:pt>
                <c:pt idx="117">
                  <c:v>2025-09-10 13:55</c:v>
                </c:pt>
                <c:pt idx="118">
                  <c:v>2025-09-10 13:55</c:v>
                </c:pt>
                <c:pt idx="119">
                  <c:v>2025-09-10 14:00</c:v>
                </c:pt>
                <c:pt idx="120">
                  <c:v>2025-09-10 14:55</c:v>
                </c:pt>
                <c:pt idx="121">
                  <c:v>2025-09-10 14:55</c:v>
                </c:pt>
                <c:pt idx="122">
                  <c:v>2025-09-10 15:00</c:v>
                </c:pt>
                <c:pt idx="123">
                  <c:v>2025-09-10 15:00</c:v>
                </c:pt>
                <c:pt idx="124">
                  <c:v>2025-09-11 10:25</c:v>
                </c:pt>
                <c:pt idx="125">
                  <c:v>2025-09-11 10:25</c:v>
                </c:pt>
                <c:pt idx="126">
                  <c:v>2025-09-11 10:30</c:v>
                </c:pt>
                <c:pt idx="127">
                  <c:v>2025-09-11 11:10</c:v>
                </c:pt>
                <c:pt idx="128">
                  <c:v>2025-09-11 11:10</c:v>
                </c:pt>
              </c:strCache>
            </c:strRef>
          </c:cat>
          <c:val>
            <c:numRef>
              <c:f>events!$J$218:$J$346</c:f>
              <c:numCache>
                <c:formatCode>General</c:formatCode>
                <c:ptCount val="129"/>
                <c:pt idx="0">
                  <c:v>0</c:v>
                </c:pt>
                <c:pt idx="1">
                  <c:v>0</c:v>
                </c:pt>
                <c:pt idx="2">
                  <c:v>-0.65359477124183007</c:v>
                </c:pt>
                <c:pt idx="3">
                  <c:v>-0.65359477124183007</c:v>
                </c:pt>
                <c:pt idx="4">
                  <c:v>-1.3071895424836599</c:v>
                </c:pt>
                <c:pt idx="5">
                  <c:v>-1.3071895424836599</c:v>
                </c:pt>
                <c:pt idx="6">
                  <c:v>-1.3071895424836599</c:v>
                </c:pt>
                <c:pt idx="7">
                  <c:v>-0.6578947368421052</c:v>
                </c:pt>
                <c:pt idx="8">
                  <c:v>-0.6578947368421052</c:v>
                </c:pt>
                <c:pt idx="9">
                  <c:v>-0.6578947368421052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-0.66666666666666674</c:v>
                </c:pt>
                <c:pt idx="14">
                  <c:v>-0.66666666666666674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1.3513513513513511</c:v>
                </c:pt>
                <c:pt idx="22">
                  <c:v>0</c:v>
                </c:pt>
                <c:pt idx="23">
                  <c:v>0.67567567567567566</c:v>
                </c:pt>
                <c:pt idx="24">
                  <c:v>0.68027210884353739</c:v>
                </c:pt>
                <c:pt idx="25">
                  <c:v>0.68027210884353739</c:v>
                </c:pt>
                <c:pt idx="26">
                  <c:v>0.68027210884353739</c:v>
                </c:pt>
                <c:pt idx="27">
                  <c:v>1.3698630136986301</c:v>
                </c:pt>
                <c:pt idx="28">
                  <c:v>0</c:v>
                </c:pt>
                <c:pt idx="29">
                  <c:v>0</c:v>
                </c:pt>
                <c:pt idx="30">
                  <c:v>-0.68027210884353739</c:v>
                </c:pt>
                <c:pt idx="31">
                  <c:v>-0.68027210884353739</c:v>
                </c:pt>
                <c:pt idx="32">
                  <c:v>-0.68027210884353739</c:v>
                </c:pt>
                <c:pt idx="33">
                  <c:v>0.69444444444444442</c:v>
                </c:pt>
                <c:pt idx="34">
                  <c:v>1.398601398601399</c:v>
                </c:pt>
                <c:pt idx="35">
                  <c:v>0</c:v>
                </c:pt>
                <c:pt idx="36">
                  <c:v>-0.68493150684931503</c:v>
                </c:pt>
                <c:pt idx="37">
                  <c:v>-0.68493150684931503</c:v>
                </c:pt>
                <c:pt idx="38">
                  <c:v>0.68965517241379315</c:v>
                </c:pt>
                <c:pt idx="39">
                  <c:v>-0.68493150684931503</c:v>
                </c:pt>
                <c:pt idx="40">
                  <c:v>0</c:v>
                </c:pt>
                <c:pt idx="41">
                  <c:v>-1.360544217687075</c:v>
                </c:pt>
                <c:pt idx="42">
                  <c:v>-1.360544217687075</c:v>
                </c:pt>
                <c:pt idx="43">
                  <c:v>1.418439716312057</c:v>
                </c:pt>
                <c:pt idx="44">
                  <c:v>1.418439716312057</c:v>
                </c:pt>
                <c:pt idx="45">
                  <c:v>1.418439716312057</c:v>
                </c:pt>
                <c:pt idx="46">
                  <c:v>1.3888888888888891</c:v>
                </c:pt>
                <c:pt idx="47">
                  <c:v>1.3888888888888891</c:v>
                </c:pt>
                <c:pt idx="48">
                  <c:v>1.3888888888888891</c:v>
                </c:pt>
                <c:pt idx="49">
                  <c:v>0.68965517241379315</c:v>
                </c:pt>
                <c:pt idx="50">
                  <c:v>0.68965517241379315</c:v>
                </c:pt>
                <c:pt idx="51">
                  <c:v>0</c:v>
                </c:pt>
                <c:pt idx="52">
                  <c:v>-0.68493150684931503</c:v>
                </c:pt>
                <c:pt idx="53">
                  <c:v>-0.68493150684931503</c:v>
                </c:pt>
                <c:pt idx="54">
                  <c:v>0</c:v>
                </c:pt>
                <c:pt idx="55">
                  <c:v>0.69444444444444442</c:v>
                </c:pt>
                <c:pt idx="56">
                  <c:v>0.69444444444444442</c:v>
                </c:pt>
                <c:pt idx="57">
                  <c:v>0</c:v>
                </c:pt>
                <c:pt idx="58">
                  <c:v>0</c:v>
                </c:pt>
                <c:pt idx="59">
                  <c:v>-0.68965517241379315</c:v>
                </c:pt>
                <c:pt idx="60">
                  <c:v>-0.68965517241379315</c:v>
                </c:pt>
                <c:pt idx="61">
                  <c:v>-0.68965517241379315</c:v>
                </c:pt>
                <c:pt idx="62">
                  <c:v>1.3888888888888891</c:v>
                </c:pt>
                <c:pt idx="63">
                  <c:v>0.68965517241379315</c:v>
                </c:pt>
                <c:pt idx="64">
                  <c:v>0.68965517241379315</c:v>
                </c:pt>
                <c:pt idx="65">
                  <c:v>0.68493150684931503</c:v>
                </c:pt>
                <c:pt idx="66">
                  <c:v>1.3698630136986301</c:v>
                </c:pt>
                <c:pt idx="67">
                  <c:v>1.3698630136986301</c:v>
                </c:pt>
                <c:pt idx="68">
                  <c:v>0.68027210884353739</c:v>
                </c:pt>
                <c:pt idx="69">
                  <c:v>0.68027210884353739</c:v>
                </c:pt>
                <c:pt idx="70">
                  <c:v>0</c:v>
                </c:pt>
                <c:pt idx="71">
                  <c:v>4.7619047619047619</c:v>
                </c:pt>
                <c:pt idx="72">
                  <c:v>4.7619047619047619</c:v>
                </c:pt>
                <c:pt idx="73">
                  <c:v>1.324503311258278</c:v>
                </c:pt>
                <c:pt idx="74">
                  <c:v>0</c:v>
                </c:pt>
                <c:pt idx="75">
                  <c:v>0</c:v>
                </c:pt>
                <c:pt idx="76">
                  <c:v>-1.948051948051948</c:v>
                </c:pt>
                <c:pt idx="77">
                  <c:v>-1.948051948051948</c:v>
                </c:pt>
                <c:pt idx="78">
                  <c:v>-1.2987012987012989</c:v>
                </c:pt>
                <c:pt idx="79">
                  <c:v>0.66666666666666674</c:v>
                </c:pt>
                <c:pt idx="80">
                  <c:v>0</c:v>
                </c:pt>
                <c:pt idx="81">
                  <c:v>0</c:v>
                </c:pt>
                <c:pt idx="82">
                  <c:v>0.67114093959731547</c:v>
                </c:pt>
                <c:pt idx="83">
                  <c:v>0.66666666666666674</c:v>
                </c:pt>
                <c:pt idx="84">
                  <c:v>1.324503311258278</c:v>
                </c:pt>
                <c:pt idx="85">
                  <c:v>0.66225165562913912</c:v>
                </c:pt>
                <c:pt idx="86">
                  <c:v>0.66225165562913912</c:v>
                </c:pt>
                <c:pt idx="87">
                  <c:v>0.66225165562913912</c:v>
                </c:pt>
                <c:pt idx="88">
                  <c:v>0.66225165562913912</c:v>
                </c:pt>
                <c:pt idx="89">
                  <c:v>-0.65359477124183007</c:v>
                </c:pt>
                <c:pt idx="90">
                  <c:v>-0.65359477124183007</c:v>
                </c:pt>
                <c:pt idx="91">
                  <c:v>-0.65359477124183007</c:v>
                </c:pt>
                <c:pt idx="92">
                  <c:v>0.65359477124183007</c:v>
                </c:pt>
                <c:pt idx="93">
                  <c:v>0</c:v>
                </c:pt>
                <c:pt idx="94">
                  <c:v>0</c:v>
                </c:pt>
                <c:pt idx="96">
                  <c:v>-0.64516129032258063</c:v>
                </c:pt>
                <c:pt idx="97">
                  <c:v>0.65359477124183007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0.65359477124183007</c:v>
                </c:pt>
                <c:pt idx="104">
                  <c:v>0.65359477124183007</c:v>
                </c:pt>
                <c:pt idx="105">
                  <c:v>1.324503311258278</c:v>
                </c:pt>
                <c:pt idx="106">
                  <c:v>-0.64935064935064934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-1.3071895424836599</c:v>
                </c:pt>
                <c:pt idx="113">
                  <c:v>-0.6578947368421052</c:v>
                </c:pt>
                <c:pt idx="114">
                  <c:v>-0.65359477124183007</c:v>
                </c:pt>
                <c:pt idx="115">
                  <c:v>-0.65359477124183007</c:v>
                </c:pt>
                <c:pt idx="116">
                  <c:v>-0.6578947368421052</c:v>
                </c:pt>
                <c:pt idx="117">
                  <c:v>0</c:v>
                </c:pt>
                <c:pt idx="118">
                  <c:v>0</c:v>
                </c:pt>
                <c:pt idx="119">
                  <c:v>0.66666666666666674</c:v>
                </c:pt>
                <c:pt idx="120">
                  <c:v>0</c:v>
                </c:pt>
                <c:pt idx="121">
                  <c:v>0</c:v>
                </c:pt>
                <c:pt idx="122">
                  <c:v>0.66225165562913912</c:v>
                </c:pt>
                <c:pt idx="123">
                  <c:v>0.66225165562913912</c:v>
                </c:pt>
                <c:pt idx="124">
                  <c:v>-1.9736842105263159</c:v>
                </c:pt>
                <c:pt idx="125">
                  <c:v>-1.9736842105263159</c:v>
                </c:pt>
                <c:pt idx="126">
                  <c:v>-1.324503311258278</c:v>
                </c:pt>
                <c:pt idx="127">
                  <c:v>-0.66225165562913912</c:v>
                </c:pt>
                <c:pt idx="128">
                  <c:v>-0.66225165562913912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9-46A0-A9D9-E52CCAF7F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03727"/>
        <c:axId val="380998319"/>
      </c:lineChart>
      <c:catAx>
        <c:axId val="38099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81008303"/>
        <c:crosses val="autoZero"/>
        <c:auto val="1"/>
        <c:lblAlgn val="ctr"/>
        <c:lblOffset val="100"/>
        <c:noMultiLvlLbl val="0"/>
      </c:catAx>
      <c:valAx>
        <c:axId val="3810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80994575"/>
        <c:crosses val="autoZero"/>
        <c:crossBetween val="between"/>
      </c:valAx>
      <c:valAx>
        <c:axId val="380998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81003727"/>
        <c:crosses val="max"/>
        <c:crossBetween val="between"/>
      </c:valAx>
      <c:catAx>
        <c:axId val="381003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998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1152525</xdr:colOff>
      <xdr:row>57</xdr:row>
      <xdr:rowOff>28575</xdr:rowOff>
    </xdr:from>
    <xdr:to>
      <xdr:col>5</xdr:col>
      <xdr:colOff>266700</xdr:colOff>
      <xdr:row>62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8A428C1-8685-4CE1-8AA9-189E89D3080B}"/>
            </a:ext>
          </a:extLst>
        </xdr:cNvPr>
        <xdr:cNvSpPr/>
      </xdr:nvSpPr>
      <xdr:spPr>
        <a:xfrm>
          <a:off x="4143375" y="10344150"/>
          <a:ext cx="1190625" cy="10001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1200150</xdr:colOff>
      <xdr:row>79</xdr:row>
      <xdr:rowOff>9525</xdr:rowOff>
    </xdr:from>
    <xdr:to>
      <xdr:col>5</xdr:col>
      <xdr:colOff>314325</xdr:colOff>
      <xdr:row>84</xdr:row>
      <xdr:rowOff>104775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CB3D861-8277-4658-AEBC-5A59004AB8FD}"/>
            </a:ext>
          </a:extLst>
        </xdr:cNvPr>
        <xdr:cNvSpPr/>
      </xdr:nvSpPr>
      <xdr:spPr>
        <a:xfrm>
          <a:off x="4191000" y="14306550"/>
          <a:ext cx="1190625" cy="10001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1181100</xdr:colOff>
      <xdr:row>105</xdr:row>
      <xdr:rowOff>57150</xdr:rowOff>
    </xdr:from>
    <xdr:to>
      <xdr:col>5</xdr:col>
      <xdr:colOff>295275</xdr:colOff>
      <xdr:row>110</xdr:row>
      <xdr:rowOff>152400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02CE4A5-A855-4E30-A913-CC74552EA000}"/>
            </a:ext>
          </a:extLst>
        </xdr:cNvPr>
        <xdr:cNvSpPr/>
      </xdr:nvSpPr>
      <xdr:spPr>
        <a:xfrm>
          <a:off x="4171950" y="19059525"/>
          <a:ext cx="1190625" cy="10001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1162050</xdr:colOff>
      <xdr:row>96</xdr:row>
      <xdr:rowOff>161925</xdr:rowOff>
    </xdr:from>
    <xdr:to>
      <xdr:col>5</xdr:col>
      <xdr:colOff>276225</xdr:colOff>
      <xdr:row>102</xdr:row>
      <xdr:rowOff>76200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A1DC06E-6E23-410A-9D7D-DC62E1ED09ED}"/>
            </a:ext>
          </a:extLst>
        </xdr:cNvPr>
        <xdr:cNvSpPr/>
      </xdr:nvSpPr>
      <xdr:spPr>
        <a:xfrm>
          <a:off x="4152900" y="17535525"/>
          <a:ext cx="1190625" cy="10001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1162050</xdr:colOff>
      <xdr:row>139</xdr:row>
      <xdr:rowOff>152400</xdr:rowOff>
    </xdr:from>
    <xdr:to>
      <xdr:col>5</xdr:col>
      <xdr:colOff>276225</xdr:colOff>
      <xdr:row>145</xdr:row>
      <xdr:rowOff>66675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2D0FC92-7AED-407F-9517-1DE83E32A58A}"/>
            </a:ext>
          </a:extLst>
        </xdr:cNvPr>
        <xdr:cNvSpPr/>
      </xdr:nvSpPr>
      <xdr:spPr>
        <a:xfrm>
          <a:off x="4152900" y="25307925"/>
          <a:ext cx="1190625" cy="10001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1200150</xdr:colOff>
      <xdr:row>171</xdr:row>
      <xdr:rowOff>47625</xdr:rowOff>
    </xdr:from>
    <xdr:to>
      <xdr:col>5</xdr:col>
      <xdr:colOff>314325</xdr:colOff>
      <xdr:row>175</xdr:row>
      <xdr:rowOff>104775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CC24AF1-163B-444E-AC9B-D299781A04F2}"/>
            </a:ext>
          </a:extLst>
        </xdr:cNvPr>
        <xdr:cNvSpPr/>
      </xdr:nvSpPr>
      <xdr:spPr>
        <a:xfrm>
          <a:off x="4191000" y="30994350"/>
          <a:ext cx="1190625" cy="7810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1190625</xdr:colOff>
      <xdr:row>181</xdr:row>
      <xdr:rowOff>104775</xdr:rowOff>
    </xdr:from>
    <xdr:to>
      <xdr:col>5</xdr:col>
      <xdr:colOff>304800</xdr:colOff>
      <xdr:row>185</xdr:row>
      <xdr:rowOff>19050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FDF5A19-8306-4778-A733-0CBB361526B1}"/>
            </a:ext>
          </a:extLst>
        </xdr:cNvPr>
        <xdr:cNvSpPr/>
      </xdr:nvSpPr>
      <xdr:spPr>
        <a:xfrm>
          <a:off x="4181475" y="32861250"/>
          <a:ext cx="1190625" cy="6381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1190625</xdr:colOff>
      <xdr:row>195</xdr:row>
      <xdr:rowOff>9525</xdr:rowOff>
    </xdr:from>
    <xdr:to>
      <xdr:col>5</xdr:col>
      <xdr:colOff>304800</xdr:colOff>
      <xdr:row>198</xdr:row>
      <xdr:rowOff>142875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1B6DC32-9757-4B4F-AF62-4C0774EC3756}"/>
            </a:ext>
          </a:extLst>
        </xdr:cNvPr>
        <xdr:cNvSpPr/>
      </xdr:nvSpPr>
      <xdr:spPr>
        <a:xfrm>
          <a:off x="4181475" y="35299650"/>
          <a:ext cx="1190625" cy="6762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1200150</xdr:colOff>
      <xdr:row>214</xdr:row>
      <xdr:rowOff>38100</xdr:rowOff>
    </xdr:from>
    <xdr:to>
      <xdr:col>5</xdr:col>
      <xdr:colOff>314325</xdr:colOff>
      <xdr:row>217</xdr:row>
      <xdr:rowOff>171450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594CCAC-D241-42A8-A162-8A730B8AA31A}"/>
            </a:ext>
          </a:extLst>
        </xdr:cNvPr>
        <xdr:cNvSpPr/>
      </xdr:nvSpPr>
      <xdr:spPr>
        <a:xfrm>
          <a:off x="4191000" y="38766750"/>
          <a:ext cx="1190625" cy="6762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1181100</xdr:colOff>
      <xdr:row>237</xdr:row>
      <xdr:rowOff>9525</xdr:rowOff>
    </xdr:from>
    <xdr:to>
      <xdr:col>5</xdr:col>
      <xdr:colOff>295275</xdr:colOff>
      <xdr:row>243</xdr:row>
      <xdr:rowOff>104775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3B34B34-E167-4B3E-BBD1-E46E8927126E}"/>
            </a:ext>
          </a:extLst>
        </xdr:cNvPr>
        <xdr:cNvSpPr/>
      </xdr:nvSpPr>
      <xdr:spPr>
        <a:xfrm>
          <a:off x="4171950" y="42900600"/>
          <a:ext cx="1190625" cy="1181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1181100</xdr:colOff>
      <xdr:row>250</xdr:row>
      <xdr:rowOff>66675</xdr:rowOff>
    </xdr:from>
    <xdr:to>
      <xdr:col>5</xdr:col>
      <xdr:colOff>295275</xdr:colOff>
      <xdr:row>256</xdr:row>
      <xdr:rowOff>161925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D10F6E4-A54B-44DA-A418-7E5F47C2F806}"/>
            </a:ext>
          </a:extLst>
        </xdr:cNvPr>
        <xdr:cNvSpPr/>
      </xdr:nvSpPr>
      <xdr:spPr>
        <a:xfrm>
          <a:off x="4171950" y="45310425"/>
          <a:ext cx="1190625" cy="1181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1190625</xdr:colOff>
      <xdr:row>277</xdr:row>
      <xdr:rowOff>171450</xdr:rowOff>
    </xdr:from>
    <xdr:to>
      <xdr:col>5</xdr:col>
      <xdr:colOff>304800</xdr:colOff>
      <xdr:row>282</xdr:row>
      <xdr:rowOff>123825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670AEC4-91DA-4241-9F98-41759F94EFB5}"/>
            </a:ext>
          </a:extLst>
        </xdr:cNvPr>
        <xdr:cNvSpPr/>
      </xdr:nvSpPr>
      <xdr:spPr>
        <a:xfrm>
          <a:off x="4181475" y="50301525"/>
          <a:ext cx="1190625" cy="8572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19050</xdr:colOff>
      <xdr:row>277</xdr:row>
      <xdr:rowOff>85725</xdr:rowOff>
    </xdr:from>
    <xdr:to>
      <xdr:col>3</xdr:col>
      <xdr:colOff>1257300</xdr:colOff>
      <xdr:row>279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BECFBB-49D1-4D59-98FA-7687D344972A}"/>
            </a:ext>
          </a:extLst>
        </xdr:cNvPr>
        <xdr:cNvSpPr txBox="1"/>
      </xdr:nvSpPr>
      <xdr:spPr>
        <a:xfrm>
          <a:off x="3009900" y="50215800"/>
          <a:ext cx="1238250" cy="4000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/>
            <a:t>จังหวะซื้อ</a:t>
          </a:r>
        </a:p>
      </xdr:txBody>
    </xdr:sp>
    <xdr:clientData/>
  </xdr:twoCellAnchor>
  <xdr:twoCellAnchor>
    <xdr:from>
      <xdr:col>3</xdr:col>
      <xdr:colOff>1190625</xdr:colOff>
      <xdr:row>259</xdr:row>
      <xdr:rowOff>123825</xdr:rowOff>
    </xdr:from>
    <xdr:to>
      <xdr:col>5</xdr:col>
      <xdr:colOff>304800</xdr:colOff>
      <xdr:row>264</xdr:row>
      <xdr:rowOff>76200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2AA7971-D9D4-43E4-B8EB-662C2032D404}"/>
            </a:ext>
          </a:extLst>
        </xdr:cNvPr>
        <xdr:cNvSpPr/>
      </xdr:nvSpPr>
      <xdr:spPr>
        <a:xfrm>
          <a:off x="4181475" y="46996350"/>
          <a:ext cx="1190625" cy="8572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19050</xdr:colOff>
      <xdr:row>259</xdr:row>
      <xdr:rowOff>38100</xdr:rowOff>
    </xdr:from>
    <xdr:to>
      <xdr:col>3</xdr:col>
      <xdr:colOff>1257300</xdr:colOff>
      <xdr:row>261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29B9968-AF1E-48B4-A4EA-879D6A386BAB}"/>
            </a:ext>
          </a:extLst>
        </xdr:cNvPr>
        <xdr:cNvSpPr txBox="1"/>
      </xdr:nvSpPr>
      <xdr:spPr>
        <a:xfrm>
          <a:off x="3009900" y="46910625"/>
          <a:ext cx="1238250" cy="4000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/>
            <a:t>จังหวะซื้อ</a:t>
          </a:r>
        </a:p>
      </xdr:txBody>
    </xdr:sp>
    <xdr:clientData/>
  </xdr:twoCellAnchor>
  <xdr:twoCellAnchor>
    <xdr:from>
      <xdr:col>3</xdr:col>
      <xdr:colOff>1219200</xdr:colOff>
      <xdr:row>297</xdr:row>
      <xdr:rowOff>133350</xdr:rowOff>
    </xdr:from>
    <xdr:to>
      <xdr:col>5</xdr:col>
      <xdr:colOff>333375</xdr:colOff>
      <xdr:row>302</xdr:row>
      <xdr:rowOff>85725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3C6AA30-2AA0-48F8-B3F2-3001A233C9FA}"/>
            </a:ext>
          </a:extLst>
        </xdr:cNvPr>
        <xdr:cNvSpPr/>
      </xdr:nvSpPr>
      <xdr:spPr>
        <a:xfrm>
          <a:off x="4210050" y="53882925"/>
          <a:ext cx="1190625" cy="8572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1190625</xdr:colOff>
      <xdr:row>320</xdr:row>
      <xdr:rowOff>133349</xdr:rowOff>
    </xdr:from>
    <xdr:to>
      <xdr:col>5</xdr:col>
      <xdr:colOff>304800</xdr:colOff>
      <xdr:row>326</xdr:row>
      <xdr:rowOff>104774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AE4071F-D6A4-45DA-97D5-5B941A6274DC}"/>
            </a:ext>
          </a:extLst>
        </xdr:cNvPr>
        <xdr:cNvSpPr/>
      </xdr:nvSpPr>
      <xdr:spPr>
        <a:xfrm>
          <a:off x="4181475" y="58045349"/>
          <a:ext cx="1190625" cy="10572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1171575</xdr:colOff>
      <xdr:row>360</xdr:row>
      <xdr:rowOff>57150</xdr:rowOff>
    </xdr:from>
    <xdr:to>
      <xdr:col>5</xdr:col>
      <xdr:colOff>285750</xdr:colOff>
      <xdr:row>365</xdr:row>
      <xdr:rowOff>9525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7E19595-666C-4601-AC84-F02FC531ECFD}"/>
            </a:ext>
          </a:extLst>
        </xdr:cNvPr>
        <xdr:cNvSpPr/>
      </xdr:nvSpPr>
      <xdr:spPr>
        <a:xfrm>
          <a:off x="4162425" y="65208150"/>
          <a:ext cx="1190625" cy="8572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0</xdr:colOff>
      <xdr:row>359</xdr:row>
      <xdr:rowOff>152400</xdr:rowOff>
    </xdr:from>
    <xdr:to>
      <xdr:col>3</xdr:col>
      <xdr:colOff>1238250</xdr:colOff>
      <xdr:row>362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D427F67-8756-43CC-915E-B306C4A94CB0}"/>
            </a:ext>
          </a:extLst>
        </xdr:cNvPr>
        <xdr:cNvSpPr txBox="1"/>
      </xdr:nvSpPr>
      <xdr:spPr>
        <a:xfrm>
          <a:off x="2990850" y="65122425"/>
          <a:ext cx="1238250" cy="4000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/>
            <a:t>จังหวะซื้อ</a:t>
          </a:r>
        </a:p>
      </xdr:txBody>
    </xdr:sp>
    <xdr:clientData/>
  </xdr:twoCellAnchor>
  <xdr:twoCellAnchor>
    <xdr:from>
      <xdr:col>3</xdr:col>
      <xdr:colOff>1152525</xdr:colOff>
      <xdr:row>382</xdr:row>
      <xdr:rowOff>104775</xdr:rowOff>
    </xdr:from>
    <xdr:to>
      <xdr:col>5</xdr:col>
      <xdr:colOff>266700</xdr:colOff>
      <xdr:row>385</xdr:row>
      <xdr:rowOff>57150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2C8A50B-2F46-4C1F-AEC8-D4B1A7F74654}"/>
            </a:ext>
          </a:extLst>
        </xdr:cNvPr>
        <xdr:cNvSpPr/>
      </xdr:nvSpPr>
      <xdr:spPr>
        <a:xfrm>
          <a:off x="4143375" y="69237225"/>
          <a:ext cx="1190625" cy="4953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1152525</xdr:colOff>
      <xdr:row>385</xdr:row>
      <xdr:rowOff>76200</xdr:rowOff>
    </xdr:from>
    <xdr:to>
      <xdr:col>5</xdr:col>
      <xdr:colOff>266700</xdr:colOff>
      <xdr:row>387</xdr:row>
      <xdr:rowOff>76200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E1C477C-2C48-4473-A809-286B0F3F4355}"/>
            </a:ext>
          </a:extLst>
        </xdr:cNvPr>
        <xdr:cNvSpPr/>
      </xdr:nvSpPr>
      <xdr:spPr>
        <a:xfrm>
          <a:off x="4143375" y="69751575"/>
          <a:ext cx="1190625" cy="36195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695325</xdr:colOff>
      <xdr:row>390</xdr:row>
      <xdr:rowOff>104775</xdr:rowOff>
    </xdr:from>
    <xdr:to>
      <xdr:col>3</xdr:col>
      <xdr:colOff>1190625</xdr:colOff>
      <xdr:row>392</xdr:row>
      <xdr:rowOff>142875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DF30EF3-7628-4068-AC9B-D2DF8FD84659}"/>
            </a:ext>
          </a:extLst>
        </xdr:cNvPr>
        <xdr:cNvSpPr txBox="1"/>
      </xdr:nvSpPr>
      <xdr:spPr>
        <a:xfrm>
          <a:off x="2943225" y="70685025"/>
          <a:ext cx="1238250" cy="4000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/>
            <a:t>จังหวะขาย</a:t>
          </a:r>
        </a:p>
      </xdr:txBody>
    </xdr:sp>
    <xdr:clientData/>
  </xdr:twoCellAnchor>
  <xdr:twoCellAnchor>
    <xdr:from>
      <xdr:col>2</xdr:col>
      <xdr:colOff>657225</xdr:colOff>
      <xdr:row>384</xdr:row>
      <xdr:rowOff>142875</xdr:rowOff>
    </xdr:from>
    <xdr:to>
      <xdr:col>3</xdr:col>
      <xdr:colOff>1152525</xdr:colOff>
      <xdr:row>387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ED53112-CA08-461D-B686-6DB02B30C9FB}"/>
            </a:ext>
          </a:extLst>
        </xdr:cNvPr>
        <xdr:cNvSpPr txBox="1"/>
      </xdr:nvSpPr>
      <xdr:spPr>
        <a:xfrm>
          <a:off x="2905125" y="69637275"/>
          <a:ext cx="1238250" cy="4000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/>
            <a:t>จังหวะขาย</a:t>
          </a:r>
        </a:p>
      </xdr:txBody>
    </xdr:sp>
    <xdr:clientData/>
  </xdr:twoCellAnchor>
  <xdr:twoCellAnchor>
    <xdr:from>
      <xdr:col>3</xdr:col>
      <xdr:colOff>1181100</xdr:colOff>
      <xdr:row>414</xdr:row>
      <xdr:rowOff>104775</xdr:rowOff>
    </xdr:from>
    <xdr:to>
      <xdr:col>5</xdr:col>
      <xdr:colOff>295275</xdr:colOff>
      <xdr:row>418</xdr:row>
      <xdr:rowOff>104775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D24F4A8-834C-440A-B977-304A74D8DC92}"/>
            </a:ext>
          </a:extLst>
        </xdr:cNvPr>
        <xdr:cNvSpPr/>
      </xdr:nvSpPr>
      <xdr:spPr>
        <a:xfrm>
          <a:off x="4171950" y="75028425"/>
          <a:ext cx="1190625" cy="7239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1190625</xdr:colOff>
      <xdr:row>436</xdr:row>
      <xdr:rowOff>142875</xdr:rowOff>
    </xdr:from>
    <xdr:to>
      <xdr:col>5</xdr:col>
      <xdr:colOff>304800</xdr:colOff>
      <xdr:row>440</xdr:row>
      <xdr:rowOff>142875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F745B5A-30D9-44F0-B264-42E57606EDDD}"/>
            </a:ext>
          </a:extLst>
        </xdr:cNvPr>
        <xdr:cNvSpPr/>
      </xdr:nvSpPr>
      <xdr:spPr>
        <a:xfrm>
          <a:off x="4181475" y="79047975"/>
          <a:ext cx="1190625" cy="7239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152400</xdr:rowOff>
    </xdr:from>
    <xdr:to>
      <xdr:col>18</xdr:col>
      <xdr:colOff>400049</xdr:colOff>
      <xdr:row>68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52F96-94A4-4221-A853-82F2865CD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20</xdr:col>
      <xdr:colOff>676274</xdr:colOff>
      <xdr:row>37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BDA84C-AB07-4832-8F2A-94D9406BD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0"/>
  <sheetViews>
    <sheetView tabSelected="1" topLeftCell="B1" workbookViewId="0">
      <pane ySplit="1" topLeftCell="A479" activePane="bottomLeft" state="frozen"/>
      <selection pane="bottomLeft" activeCell="T501" sqref="T501"/>
    </sheetView>
  </sheetViews>
  <sheetFormatPr defaultRowHeight="14.25" x14ac:dyDescent="0.2"/>
  <cols>
    <col min="1" max="1" width="12.25" customWidth="1"/>
    <col min="2" max="2" width="17.25" customWidth="1"/>
    <col min="3" max="3" width="9.75" customWidth="1"/>
    <col min="4" max="4" width="18.25" customWidth="1"/>
    <col min="6" max="6" width="10.25" customWidth="1"/>
    <col min="7" max="7" width="19.75" customWidth="1"/>
    <col min="8" max="10" width="16.25" customWidth="1"/>
    <col min="11" max="11" width="15.625" style="18" customWidth="1"/>
    <col min="12" max="12" width="15.5" customWidth="1"/>
    <col min="13" max="13" width="4.875" hidden="1" customWidth="1"/>
    <col min="14" max="14" width="17" customWidth="1"/>
    <col min="15" max="15" width="3" hidden="1" customWidth="1"/>
    <col min="16" max="16" width="3.75" hidden="1" customWidth="1"/>
    <col min="17" max="17" width="6.75" customWidth="1"/>
    <col min="18" max="18" width="0" hidden="1" customWidth="1"/>
    <col min="19" max="19" width="13.125" hidden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2">
      <c r="A2" s="2" t="s">
        <v>10</v>
      </c>
      <c r="B2" s="2" t="s">
        <v>11</v>
      </c>
      <c r="C2" s="2" t="s">
        <v>12</v>
      </c>
      <c r="D2" s="2" t="s">
        <v>13</v>
      </c>
      <c r="E2">
        <v>39</v>
      </c>
      <c r="F2" s="2">
        <v>2313545</v>
      </c>
      <c r="G2" s="2" t="s">
        <v>14</v>
      </c>
      <c r="H2" s="2">
        <v>0</v>
      </c>
      <c r="I2" s="2">
        <v>0</v>
      </c>
      <c r="J2" s="2">
        <v>-1.2820512820512819</v>
      </c>
    </row>
    <row r="3" spans="1:15" x14ac:dyDescent="0.2">
      <c r="A3" t="s">
        <v>10</v>
      </c>
      <c r="B3" t="s">
        <v>11</v>
      </c>
      <c r="C3" t="s">
        <v>12</v>
      </c>
      <c r="D3" t="s">
        <v>15</v>
      </c>
      <c r="E3">
        <v>39</v>
      </c>
      <c r="F3">
        <v>2313545</v>
      </c>
      <c r="G3" t="s">
        <v>16</v>
      </c>
      <c r="H3">
        <v>0</v>
      </c>
      <c r="I3">
        <v>0</v>
      </c>
      <c r="J3">
        <v>-1.2820512820512819</v>
      </c>
    </row>
    <row r="4" spans="1:15" x14ac:dyDescent="0.2">
      <c r="A4" t="s">
        <v>10</v>
      </c>
      <c r="B4" t="s">
        <v>17</v>
      </c>
      <c r="C4" t="s">
        <v>12</v>
      </c>
      <c r="D4" t="s">
        <v>13</v>
      </c>
      <c r="E4">
        <v>38.75</v>
      </c>
      <c r="F4">
        <v>2143102</v>
      </c>
      <c r="G4" t="s">
        <v>18</v>
      </c>
      <c r="H4">
        <v>0.64516129032258063</v>
      </c>
      <c r="I4">
        <v>0.64516129032258063</v>
      </c>
      <c r="J4">
        <v>-0.64516129032258063</v>
      </c>
    </row>
    <row r="5" spans="1:15" x14ac:dyDescent="0.2">
      <c r="A5" s="3" t="s">
        <v>10</v>
      </c>
      <c r="B5" s="3" t="s">
        <v>19</v>
      </c>
      <c r="C5" s="3" t="s">
        <v>12</v>
      </c>
      <c r="D5" s="3" t="s">
        <v>13</v>
      </c>
      <c r="E5" s="3">
        <v>38.5</v>
      </c>
      <c r="F5" s="3">
        <v>1709363</v>
      </c>
      <c r="G5" s="3" t="s">
        <v>20</v>
      </c>
      <c r="H5" s="3">
        <v>0</v>
      </c>
      <c r="I5" s="3">
        <v>0</v>
      </c>
      <c r="J5" s="3">
        <v>0.64935064935064934</v>
      </c>
    </row>
    <row r="6" spans="1:15" x14ac:dyDescent="0.2">
      <c r="A6" t="s">
        <v>21</v>
      </c>
      <c r="B6" t="s">
        <v>22</v>
      </c>
      <c r="C6" t="s">
        <v>12</v>
      </c>
      <c r="D6" t="s">
        <v>13</v>
      </c>
      <c r="E6">
        <v>39</v>
      </c>
      <c r="F6">
        <v>1092248</v>
      </c>
      <c r="G6" t="s">
        <v>23</v>
      </c>
      <c r="H6">
        <v>0</v>
      </c>
      <c r="I6">
        <v>-0.64102564102564097</v>
      </c>
      <c r="J6">
        <v>-0.64102564102564097</v>
      </c>
    </row>
    <row r="7" spans="1:15" x14ac:dyDescent="0.2">
      <c r="A7" t="s">
        <v>21</v>
      </c>
      <c r="B7" t="s">
        <v>24</v>
      </c>
      <c r="C7" t="s">
        <v>12</v>
      </c>
      <c r="D7" t="s">
        <v>13</v>
      </c>
      <c r="E7">
        <v>39</v>
      </c>
      <c r="F7">
        <v>1612073</v>
      </c>
      <c r="G7" t="s">
        <v>25</v>
      </c>
      <c r="H7">
        <v>-0.64102564102564097</v>
      </c>
      <c r="I7">
        <v>-0.64102564102564097</v>
      </c>
      <c r="J7">
        <v>-0.64102564102564097</v>
      </c>
    </row>
    <row r="8" spans="1:15" x14ac:dyDescent="0.2">
      <c r="A8" t="s">
        <v>21</v>
      </c>
      <c r="B8" t="s">
        <v>24</v>
      </c>
      <c r="C8" t="s">
        <v>12</v>
      </c>
      <c r="D8" t="s">
        <v>15</v>
      </c>
      <c r="E8">
        <v>39</v>
      </c>
      <c r="F8">
        <v>1612073</v>
      </c>
      <c r="G8" t="s">
        <v>16</v>
      </c>
      <c r="H8">
        <v>-0.64102564102564097</v>
      </c>
      <c r="I8">
        <v>-0.64102564102564097</v>
      </c>
      <c r="J8">
        <v>-0.64102564102564097</v>
      </c>
    </row>
    <row r="9" spans="1:15" x14ac:dyDescent="0.2">
      <c r="A9" t="s">
        <v>21</v>
      </c>
      <c r="B9" t="s">
        <v>26</v>
      </c>
      <c r="C9" t="s">
        <v>12</v>
      </c>
      <c r="D9" t="s">
        <v>13</v>
      </c>
      <c r="E9" s="4">
        <v>38.5</v>
      </c>
      <c r="F9">
        <v>1442230</v>
      </c>
      <c r="G9" t="s">
        <v>27</v>
      </c>
      <c r="H9" s="4">
        <v>0.64935064935064934</v>
      </c>
      <c r="I9" s="4">
        <v>0.64935064935064934</v>
      </c>
      <c r="J9" s="4">
        <v>1.2987012987012989</v>
      </c>
      <c r="L9" s="9"/>
      <c r="M9" s="6"/>
      <c r="N9" s="9"/>
      <c r="O9" s="10" t="e">
        <f>((M10-M9)/M9)</f>
        <v>#DIV/0!</v>
      </c>
    </row>
    <row r="10" spans="1:15" x14ac:dyDescent="0.2">
      <c r="A10" t="s">
        <v>21</v>
      </c>
      <c r="B10" t="s">
        <v>28</v>
      </c>
      <c r="C10" t="s">
        <v>12</v>
      </c>
      <c r="D10" t="s">
        <v>13</v>
      </c>
      <c r="E10">
        <v>38.75</v>
      </c>
      <c r="F10">
        <v>1450230</v>
      </c>
      <c r="G10" t="s">
        <v>29</v>
      </c>
      <c r="H10">
        <v>0</v>
      </c>
      <c r="I10">
        <v>0</v>
      </c>
      <c r="J10">
        <v>0</v>
      </c>
      <c r="L10" s="9"/>
      <c r="M10" s="6"/>
      <c r="N10" s="9"/>
    </row>
    <row r="11" spans="1:15" x14ac:dyDescent="0.2">
      <c r="A11" t="s">
        <v>21</v>
      </c>
      <c r="B11" t="s">
        <v>28</v>
      </c>
      <c r="C11" t="s">
        <v>12</v>
      </c>
      <c r="D11" t="s">
        <v>15</v>
      </c>
      <c r="E11">
        <v>38.75</v>
      </c>
      <c r="F11">
        <v>1450230</v>
      </c>
      <c r="G11" t="s">
        <v>16</v>
      </c>
      <c r="H11">
        <v>0</v>
      </c>
      <c r="I11">
        <v>0</v>
      </c>
      <c r="J11">
        <v>0</v>
      </c>
    </row>
    <row r="12" spans="1:15" x14ac:dyDescent="0.2">
      <c r="A12" t="s">
        <v>21</v>
      </c>
      <c r="B12" t="s">
        <v>30</v>
      </c>
      <c r="C12" t="s">
        <v>12</v>
      </c>
      <c r="D12" t="s">
        <v>13</v>
      </c>
      <c r="E12">
        <v>38.75</v>
      </c>
      <c r="F12">
        <v>2522283</v>
      </c>
      <c r="G12" t="s">
        <v>31</v>
      </c>
      <c r="H12">
        <v>0</v>
      </c>
      <c r="I12">
        <v>0</v>
      </c>
      <c r="J12">
        <v>-0.64516129032258063</v>
      </c>
    </row>
    <row r="13" spans="1:15" x14ac:dyDescent="0.2">
      <c r="A13" t="s">
        <v>21</v>
      </c>
      <c r="B13" t="s">
        <v>32</v>
      </c>
      <c r="C13" t="s">
        <v>12</v>
      </c>
      <c r="D13" t="s">
        <v>13</v>
      </c>
      <c r="E13">
        <v>39</v>
      </c>
      <c r="F13">
        <v>1917000</v>
      </c>
      <c r="G13" t="s">
        <v>33</v>
      </c>
      <c r="H13">
        <v>-1.9230769230769229</v>
      </c>
      <c r="I13">
        <v>-1.9230769230769229</v>
      </c>
      <c r="J13">
        <v>-1.9230769230769229</v>
      </c>
    </row>
    <row r="14" spans="1:15" x14ac:dyDescent="0.2">
      <c r="A14" t="s">
        <v>21</v>
      </c>
      <c r="B14" t="s">
        <v>34</v>
      </c>
      <c r="C14" t="s">
        <v>12</v>
      </c>
      <c r="D14" t="s">
        <v>35</v>
      </c>
      <c r="E14">
        <v>38.5</v>
      </c>
      <c r="F14">
        <v>715142</v>
      </c>
      <c r="G14" t="s">
        <v>36</v>
      </c>
      <c r="H14">
        <v>-0.64935064935064934</v>
      </c>
      <c r="I14">
        <v>-0.64935064935064934</v>
      </c>
      <c r="J14">
        <v>-0.64935064935064934</v>
      </c>
    </row>
    <row r="15" spans="1:15" x14ac:dyDescent="0.2">
      <c r="A15" t="s">
        <v>21</v>
      </c>
      <c r="B15" t="s">
        <v>37</v>
      </c>
      <c r="C15" t="s">
        <v>12</v>
      </c>
      <c r="D15" t="s">
        <v>13</v>
      </c>
      <c r="E15">
        <v>38.5</v>
      </c>
      <c r="F15">
        <v>1400946</v>
      </c>
      <c r="G15" t="s">
        <v>38</v>
      </c>
      <c r="H15">
        <v>-0.64935064935064934</v>
      </c>
      <c r="I15">
        <v>-0.64935064935064934</v>
      </c>
      <c r="J15">
        <v>-0.64935064935064934</v>
      </c>
    </row>
    <row r="16" spans="1:15" x14ac:dyDescent="0.2">
      <c r="A16" t="s">
        <v>21</v>
      </c>
      <c r="B16" t="s">
        <v>37</v>
      </c>
      <c r="C16" t="s">
        <v>12</v>
      </c>
      <c r="D16" t="s">
        <v>15</v>
      </c>
      <c r="E16">
        <v>38.5</v>
      </c>
      <c r="F16">
        <v>1400946</v>
      </c>
      <c r="G16" t="s">
        <v>16</v>
      </c>
      <c r="H16">
        <v>-0.64935064935064934</v>
      </c>
      <c r="I16">
        <v>-0.64935064935064934</v>
      </c>
      <c r="J16">
        <v>-0.64935064935064934</v>
      </c>
    </row>
    <row r="17" spans="1:15" x14ac:dyDescent="0.2">
      <c r="A17" t="s">
        <v>21</v>
      </c>
      <c r="B17" t="s">
        <v>39</v>
      </c>
      <c r="C17" t="s">
        <v>12</v>
      </c>
      <c r="D17" t="s">
        <v>13</v>
      </c>
      <c r="E17">
        <v>38.25</v>
      </c>
      <c r="F17">
        <v>3315402</v>
      </c>
      <c r="G17" t="s">
        <v>40</v>
      </c>
      <c r="H17">
        <v>0</v>
      </c>
      <c r="I17">
        <v>0</v>
      </c>
      <c r="J17">
        <v>0.65359477124183007</v>
      </c>
    </row>
    <row r="18" spans="1:15" x14ac:dyDescent="0.2">
      <c r="A18" s="3" t="s">
        <v>21</v>
      </c>
      <c r="B18" s="3" t="s">
        <v>41</v>
      </c>
      <c r="C18" s="3" t="s">
        <v>12</v>
      </c>
      <c r="D18" s="3" t="s">
        <v>13</v>
      </c>
      <c r="E18" s="11">
        <v>38.75</v>
      </c>
      <c r="F18" s="3">
        <v>3133031</v>
      </c>
      <c r="G18" s="3" t="s">
        <v>42</v>
      </c>
      <c r="H18" s="11">
        <v>2.580645161290323</v>
      </c>
      <c r="I18" s="11">
        <v>5.161290322580645</v>
      </c>
      <c r="J18" s="11">
        <v>7.741935483870968</v>
      </c>
      <c r="L18" s="9"/>
      <c r="M18" s="6"/>
      <c r="N18" s="9"/>
      <c r="O18" s="10" t="e">
        <f>((M19-M18)/M18)</f>
        <v>#DIV/0!</v>
      </c>
    </row>
    <row r="19" spans="1:15" x14ac:dyDescent="0.2">
      <c r="A19" t="s">
        <v>43</v>
      </c>
      <c r="B19" t="s">
        <v>44</v>
      </c>
      <c r="C19" t="s">
        <v>12</v>
      </c>
      <c r="D19" t="s">
        <v>35</v>
      </c>
      <c r="E19" s="4">
        <v>39.75</v>
      </c>
      <c r="F19">
        <v>0</v>
      </c>
      <c r="G19" t="s">
        <v>45</v>
      </c>
      <c r="H19">
        <v>2.5157232704402519</v>
      </c>
      <c r="I19">
        <v>5.0314465408805038</v>
      </c>
      <c r="J19">
        <v>5.6603773584905666</v>
      </c>
      <c r="L19" s="9"/>
      <c r="M19" s="6"/>
      <c r="N19" s="9"/>
    </row>
    <row r="20" spans="1:15" x14ac:dyDescent="0.2">
      <c r="A20" t="s">
        <v>43</v>
      </c>
      <c r="B20" t="s">
        <v>46</v>
      </c>
      <c r="C20" t="s">
        <v>12</v>
      </c>
      <c r="D20" t="s">
        <v>13</v>
      </c>
      <c r="E20" s="4">
        <v>40</v>
      </c>
      <c r="F20">
        <v>4331438</v>
      </c>
      <c r="G20" t="s">
        <v>47</v>
      </c>
      <c r="H20">
        <v>3.125</v>
      </c>
      <c r="I20">
        <v>4.375</v>
      </c>
      <c r="J20">
        <v>5</v>
      </c>
    </row>
    <row r="21" spans="1:15" x14ac:dyDescent="0.2">
      <c r="A21" t="s">
        <v>43</v>
      </c>
      <c r="B21" t="s">
        <v>48</v>
      </c>
      <c r="C21" t="s">
        <v>12</v>
      </c>
      <c r="D21" t="s">
        <v>13</v>
      </c>
      <c r="E21">
        <v>40.75</v>
      </c>
      <c r="F21">
        <v>11034674</v>
      </c>
      <c r="G21" t="s">
        <v>49</v>
      </c>
      <c r="H21">
        <v>1.8404907975460121</v>
      </c>
      <c r="I21">
        <v>2.4539877300613502</v>
      </c>
      <c r="J21">
        <v>3.0674846625766872</v>
      </c>
    </row>
    <row r="22" spans="1:15" x14ac:dyDescent="0.2">
      <c r="A22" t="s">
        <v>43</v>
      </c>
      <c r="B22" t="s">
        <v>48</v>
      </c>
      <c r="C22" t="s">
        <v>12</v>
      </c>
      <c r="D22" t="s">
        <v>35</v>
      </c>
      <c r="E22">
        <v>40.75</v>
      </c>
      <c r="F22">
        <v>11034674</v>
      </c>
      <c r="G22" t="s">
        <v>50</v>
      </c>
      <c r="H22">
        <v>1.8404907975460121</v>
      </c>
      <c r="I22">
        <v>2.4539877300613502</v>
      </c>
      <c r="J22">
        <v>3.0674846625766872</v>
      </c>
    </row>
    <row r="23" spans="1:15" x14ac:dyDescent="0.2">
      <c r="A23" t="s">
        <v>43</v>
      </c>
      <c r="B23" t="s">
        <v>51</v>
      </c>
      <c r="C23" t="s">
        <v>12</v>
      </c>
      <c r="D23" t="s">
        <v>13</v>
      </c>
      <c r="E23">
        <v>40.75</v>
      </c>
      <c r="F23">
        <v>8384322</v>
      </c>
      <c r="G23" t="s">
        <v>52</v>
      </c>
      <c r="H23">
        <v>2.4539877300613502</v>
      </c>
      <c r="I23">
        <v>2.4539877300613502</v>
      </c>
      <c r="J23">
        <v>3.0674846625766872</v>
      </c>
    </row>
    <row r="24" spans="1:15" x14ac:dyDescent="0.2">
      <c r="A24" t="s">
        <v>43</v>
      </c>
      <c r="B24" t="s">
        <v>51</v>
      </c>
      <c r="C24" t="s">
        <v>12</v>
      </c>
      <c r="D24" t="s">
        <v>35</v>
      </c>
      <c r="E24">
        <v>40.75</v>
      </c>
      <c r="F24">
        <v>8384322</v>
      </c>
      <c r="G24" t="s">
        <v>53</v>
      </c>
      <c r="H24">
        <v>2.4539877300613502</v>
      </c>
      <c r="I24">
        <v>2.4539877300613502</v>
      </c>
      <c r="J24">
        <v>3.0674846625766872</v>
      </c>
    </row>
    <row r="25" spans="1:15" x14ac:dyDescent="0.2">
      <c r="A25" t="s">
        <v>43</v>
      </c>
      <c r="B25" t="s">
        <v>51</v>
      </c>
      <c r="C25" t="s">
        <v>12</v>
      </c>
      <c r="D25" t="s">
        <v>15</v>
      </c>
      <c r="E25" s="4">
        <v>40.75</v>
      </c>
      <c r="F25">
        <v>8384322</v>
      </c>
      <c r="G25" t="s">
        <v>16</v>
      </c>
      <c r="H25">
        <v>2.4539877300613502</v>
      </c>
      <c r="I25">
        <v>2.4539877300613502</v>
      </c>
      <c r="J25">
        <v>3.0674846625766872</v>
      </c>
    </row>
    <row r="26" spans="1:15" x14ac:dyDescent="0.2">
      <c r="A26" t="s">
        <v>43</v>
      </c>
      <c r="B26" t="s">
        <v>54</v>
      </c>
      <c r="C26" t="s">
        <v>12</v>
      </c>
      <c r="D26" t="s">
        <v>13</v>
      </c>
      <c r="E26">
        <v>41.25</v>
      </c>
      <c r="F26">
        <v>8450352</v>
      </c>
      <c r="G26" t="s">
        <v>55</v>
      </c>
      <c r="H26">
        <v>1.2121212121212119</v>
      </c>
      <c r="I26">
        <v>1.2121212121212119</v>
      </c>
      <c r="J26">
        <v>1.2121212121212119</v>
      </c>
    </row>
    <row r="27" spans="1:15" x14ac:dyDescent="0.2">
      <c r="A27" t="s">
        <v>43</v>
      </c>
      <c r="B27" t="s">
        <v>54</v>
      </c>
      <c r="C27" t="s">
        <v>12</v>
      </c>
      <c r="D27" t="s">
        <v>35</v>
      </c>
      <c r="E27" s="4">
        <v>41.25</v>
      </c>
      <c r="F27">
        <v>8450352</v>
      </c>
      <c r="G27" t="s">
        <v>56</v>
      </c>
      <c r="H27">
        <v>1.2121212121212119</v>
      </c>
      <c r="I27">
        <v>1.2121212121212119</v>
      </c>
      <c r="J27">
        <v>1.2121212121212119</v>
      </c>
    </row>
    <row r="28" spans="1:15" x14ac:dyDescent="0.2">
      <c r="A28" t="s">
        <v>43</v>
      </c>
      <c r="B28" t="s">
        <v>57</v>
      </c>
      <c r="C28" t="s">
        <v>12</v>
      </c>
      <c r="D28" t="s">
        <v>13</v>
      </c>
      <c r="E28">
        <v>41.75</v>
      </c>
      <c r="F28">
        <v>14547220</v>
      </c>
      <c r="G28" t="s">
        <v>58</v>
      </c>
      <c r="H28">
        <v>0</v>
      </c>
      <c r="I28">
        <v>0.5988023952095809</v>
      </c>
      <c r="J28">
        <v>-0.5988023952095809</v>
      </c>
    </row>
    <row r="29" spans="1:15" x14ac:dyDescent="0.2">
      <c r="A29" t="s">
        <v>43</v>
      </c>
      <c r="B29" t="s">
        <v>59</v>
      </c>
      <c r="C29" t="s">
        <v>12</v>
      </c>
      <c r="D29" t="s">
        <v>13</v>
      </c>
      <c r="E29" s="4">
        <v>41.75</v>
      </c>
      <c r="F29">
        <v>2717667</v>
      </c>
      <c r="G29" t="s">
        <v>60</v>
      </c>
      <c r="H29">
        <v>0.5988023952095809</v>
      </c>
      <c r="I29">
        <v>0</v>
      </c>
      <c r="J29">
        <v>0</v>
      </c>
    </row>
    <row r="30" spans="1:15" x14ac:dyDescent="0.2">
      <c r="A30" t="s">
        <v>43</v>
      </c>
      <c r="B30" t="s">
        <v>59</v>
      </c>
      <c r="C30" t="s">
        <v>12</v>
      </c>
      <c r="D30" t="s">
        <v>15</v>
      </c>
      <c r="E30">
        <v>41.75</v>
      </c>
      <c r="F30">
        <v>2717667</v>
      </c>
      <c r="G30" t="s">
        <v>16</v>
      </c>
      <c r="H30">
        <v>0.5988023952095809</v>
      </c>
      <c r="I30">
        <v>0</v>
      </c>
      <c r="J30">
        <v>0</v>
      </c>
    </row>
    <row r="31" spans="1:15" x14ac:dyDescent="0.2">
      <c r="A31" t="s">
        <v>43</v>
      </c>
      <c r="B31" t="s">
        <v>61</v>
      </c>
      <c r="C31" t="s">
        <v>12</v>
      </c>
      <c r="D31" t="s">
        <v>13</v>
      </c>
      <c r="E31" s="5">
        <v>42</v>
      </c>
      <c r="F31">
        <v>6683268</v>
      </c>
      <c r="G31" t="s">
        <v>62</v>
      </c>
      <c r="H31">
        <v>0</v>
      </c>
      <c r="I31">
        <v>-0.59523809523809523</v>
      </c>
      <c r="J31">
        <v>0</v>
      </c>
    </row>
    <row r="32" spans="1:15" x14ac:dyDescent="0.2">
      <c r="A32" t="s">
        <v>43</v>
      </c>
      <c r="B32" t="s">
        <v>61</v>
      </c>
      <c r="C32" t="s">
        <v>12</v>
      </c>
      <c r="D32" t="s">
        <v>15</v>
      </c>
      <c r="E32">
        <v>42</v>
      </c>
      <c r="F32">
        <v>6683268</v>
      </c>
      <c r="G32" t="s">
        <v>16</v>
      </c>
      <c r="H32">
        <v>0</v>
      </c>
      <c r="I32">
        <v>-0.59523809523809523</v>
      </c>
      <c r="J32">
        <v>0</v>
      </c>
    </row>
    <row r="33" spans="1:15" x14ac:dyDescent="0.2">
      <c r="A33" t="s">
        <v>43</v>
      </c>
      <c r="B33" t="s">
        <v>63</v>
      </c>
      <c r="C33" t="s">
        <v>12</v>
      </c>
      <c r="D33" t="s">
        <v>13</v>
      </c>
      <c r="E33" s="5">
        <v>41.75</v>
      </c>
      <c r="F33">
        <v>2722062</v>
      </c>
      <c r="G33" t="s">
        <v>64</v>
      </c>
      <c r="H33">
        <v>0</v>
      </c>
      <c r="I33">
        <v>-1.197604790419162</v>
      </c>
      <c r="J33">
        <v>-1.197604790419162</v>
      </c>
    </row>
    <row r="34" spans="1:15" x14ac:dyDescent="0.2">
      <c r="A34" t="s">
        <v>43</v>
      </c>
      <c r="B34" t="s">
        <v>63</v>
      </c>
      <c r="C34" t="s">
        <v>12</v>
      </c>
      <c r="D34" t="s">
        <v>15</v>
      </c>
      <c r="E34">
        <v>41.75</v>
      </c>
      <c r="F34">
        <v>2722062</v>
      </c>
      <c r="G34" t="s">
        <v>16</v>
      </c>
      <c r="H34">
        <v>0</v>
      </c>
      <c r="I34">
        <v>-1.197604790419162</v>
      </c>
      <c r="J34">
        <v>-1.197604790419162</v>
      </c>
    </row>
    <row r="35" spans="1:15" x14ac:dyDescent="0.2">
      <c r="A35" t="s">
        <v>43</v>
      </c>
      <c r="B35" t="s">
        <v>65</v>
      </c>
      <c r="C35" t="s">
        <v>12</v>
      </c>
      <c r="D35" t="s">
        <v>13</v>
      </c>
      <c r="E35">
        <v>41.75</v>
      </c>
      <c r="F35">
        <v>2078292</v>
      </c>
      <c r="G35" t="s">
        <v>66</v>
      </c>
      <c r="H35">
        <v>-0.5988023952095809</v>
      </c>
      <c r="I35">
        <v>-0.5988023952095809</v>
      </c>
      <c r="J35">
        <v>-1.197604790419162</v>
      </c>
    </row>
    <row r="36" spans="1:15" x14ac:dyDescent="0.2">
      <c r="A36" s="3" t="s">
        <v>43</v>
      </c>
      <c r="B36" s="3" t="s">
        <v>65</v>
      </c>
      <c r="C36" s="3" t="s">
        <v>12</v>
      </c>
      <c r="D36" s="3" t="s">
        <v>15</v>
      </c>
      <c r="E36" s="3">
        <v>41.75</v>
      </c>
      <c r="F36" s="3">
        <v>2078292</v>
      </c>
      <c r="G36" s="3" t="s">
        <v>16</v>
      </c>
      <c r="H36" s="3">
        <v>-0.5988023952095809</v>
      </c>
      <c r="I36" s="3">
        <v>-0.5988023952095809</v>
      </c>
      <c r="J36" s="3">
        <v>-1.197604790419162</v>
      </c>
    </row>
    <row r="37" spans="1:15" x14ac:dyDescent="0.2">
      <c r="A37" t="s">
        <v>67</v>
      </c>
      <c r="B37" t="s">
        <v>68</v>
      </c>
      <c r="C37" t="s">
        <v>12</v>
      </c>
      <c r="D37" t="s">
        <v>35</v>
      </c>
      <c r="E37" s="4">
        <v>41</v>
      </c>
      <c r="F37">
        <v>0</v>
      </c>
      <c r="G37" t="s">
        <v>69</v>
      </c>
      <c r="H37" s="4">
        <v>1.219512195121951</v>
      </c>
      <c r="I37" s="4">
        <v>1.219512195121951</v>
      </c>
      <c r="J37" s="4">
        <v>1.219512195121951</v>
      </c>
      <c r="L37" s="9"/>
      <c r="M37" s="6"/>
      <c r="N37" s="9"/>
      <c r="O37" s="10" t="e">
        <f>((M38-M37)/M37)</f>
        <v>#DIV/0!</v>
      </c>
    </row>
    <row r="38" spans="1:15" x14ac:dyDescent="0.2">
      <c r="A38" t="s">
        <v>67</v>
      </c>
      <c r="B38" t="s">
        <v>70</v>
      </c>
      <c r="C38" t="s">
        <v>12</v>
      </c>
      <c r="D38" t="s">
        <v>13</v>
      </c>
      <c r="E38" s="4">
        <v>41.25</v>
      </c>
      <c r="F38">
        <v>3787788</v>
      </c>
      <c r="G38" t="s">
        <v>71</v>
      </c>
      <c r="H38">
        <v>0.60606060606060608</v>
      </c>
      <c r="I38">
        <v>0</v>
      </c>
      <c r="J38">
        <v>0.60606060606060608</v>
      </c>
      <c r="L38" s="9"/>
      <c r="M38" s="6"/>
      <c r="N38" s="9"/>
    </row>
    <row r="39" spans="1:15" x14ac:dyDescent="0.2">
      <c r="A39" t="s">
        <v>67</v>
      </c>
      <c r="B39" t="s">
        <v>72</v>
      </c>
      <c r="C39" t="s">
        <v>12</v>
      </c>
      <c r="D39" t="s">
        <v>13</v>
      </c>
      <c r="E39" s="5">
        <v>41.5</v>
      </c>
      <c r="F39">
        <v>3507845</v>
      </c>
      <c r="G39" t="s">
        <v>73</v>
      </c>
      <c r="H39">
        <v>-0.60240963855421692</v>
      </c>
      <c r="I39">
        <v>-0.60240963855421692</v>
      </c>
      <c r="J39">
        <v>-0.60240963855421692</v>
      </c>
    </row>
    <row r="40" spans="1:15" x14ac:dyDescent="0.2">
      <c r="A40" t="s">
        <v>67</v>
      </c>
      <c r="B40" t="s">
        <v>74</v>
      </c>
      <c r="C40" t="s">
        <v>12</v>
      </c>
      <c r="D40" t="s">
        <v>13</v>
      </c>
      <c r="E40">
        <v>41.5</v>
      </c>
      <c r="F40">
        <v>2702786</v>
      </c>
      <c r="G40" t="s">
        <v>75</v>
      </c>
      <c r="H40">
        <v>-0.60240963855421692</v>
      </c>
      <c r="I40">
        <v>-0.60240963855421692</v>
      </c>
      <c r="J40">
        <v>0</v>
      </c>
    </row>
    <row r="41" spans="1:15" x14ac:dyDescent="0.2">
      <c r="A41" t="s">
        <v>67</v>
      </c>
      <c r="B41" t="s">
        <v>74</v>
      </c>
      <c r="C41" t="s">
        <v>12</v>
      </c>
      <c r="D41" t="s">
        <v>15</v>
      </c>
      <c r="E41">
        <v>41.5</v>
      </c>
      <c r="F41">
        <v>2702786</v>
      </c>
      <c r="G41" t="s">
        <v>16</v>
      </c>
      <c r="H41">
        <v>-0.60240963855421692</v>
      </c>
      <c r="I41">
        <v>-0.60240963855421692</v>
      </c>
      <c r="J41">
        <v>0</v>
      </c>
    </row>
    <row r="42" spans="1:15" x14ac:dyDescent="0.2">
      <c r="A42" t="s">
        <v>67</v>
      </c>
      <c r="B42" t="s">
        <v>76</v>
      </c>
      <c r="C42" t="s">
        <v>12</v>
      </c>
      <c r="D42" t="s">
        <v>13</v>
      </c>
      <c r="E42" s="4">
        <v>41.5</v>
      </c>
      <c r="F42">
        <v>1779830</v>
      </c>
      <c r="G42" t="s">
        <v>77</v>
      </c>
      <c r="H42">
        <v>0</v>
      </c>
      <c r="I42">
        <v>0.60240963855421692</v>
      </c>
      <c r="J42">
        <v>0</v>
      </c>
    </row>
    <row r="43" spans="1:15" x14ac:dyDescent="0.2">
      <c r="A43" t="s">
        <v>67</v>
      </c>
      <c r="B43" t="s">
        <v>76</v>
      </c>
      <c r="C43" t="s">
        <v>12</v>
      </c>
      <c r="D43" t="s">
        <v>15</v>
      </c>
      <c r="E43">
        <v>41.5</v>
      </c>
      <c r="F43">
        <v>1779830</v>
      </c>
      <c r="G43" t="s">
        <v>16</v>
      </c>
      <c r="H43">
        <v>0</v>
      </c>
      <c r="I43">
        <v>0.60240963855421692</v>
      </c>
      <c r="J43">
        <v>0</v>
      </c>
    </row>
    <row r="44" spans="1:15" x14ac:dyDescent="0.2">
      <c r="A44" t="s">
        <v>67</v>
      </c>
      <c r="B44" t="s">
        <v>78</v>
      </c>
      <c r="C44" t="s">
        <v>12</v>
      </c>
      <c r="D44" t="s">
        <v>13</v>
      </c>
      <c r="E44" s="4">
        <v>41.5</v>
      </c>
      <c r="F44">
        <v>1942101</v>
      </c>
      <c r="G44" t="s">
        <v>79</v>
      </c>
      <c r="H44">
        <v>0.60240963855421692</v>
      </c>
      <c r="I44">
        <v>0.60240963855421692</v>
      </c>
      <c r="J44">
        <v>0.60240963855421692</v>
      </c>
    </row>
    <row r="45" spans="1:15" x14ac:dyDescent="0.2">
      <c r="A45" t="s">
        <v>67</v>
      </c>
      <c r="B45" t="s">
        <v>80</v>
      </c>
      <c r="C45" t="s">
        <v>12</v>
      </c>
      <c r="D45" t="s">
        <v>13</v>
      </c>
      <c r="E45">
        <v>41.75</v>
      </c>
      <c r="F45">
        <v>3199612</v>
      </c>
      <c r="G45" t="s">
        <v>81</v>
      </c>
      <c r="H45">
        <v>0</v>
      </c>
      <c r="I45">
        <v>0</v>
      </c>
      <c r="J45">
        <v>0.5988023952095809</v>
      </c>
    </row>
    <row r="46" spans="1:15" x14ac:dyDescent="0.2">
      <c r="A46" t="s">
        <v>67</v>
      </c>
      <c r="B46" t="s">
        <v>80</v>
      </c>
      <c r="C46" t="s">
        <v>12</v>
      </c>
      <c r="D46" t="s">
        <v>15</v>
      </c>
      <c r="E46" s="4">
        <v>41.75</v>
      </c>
      <c r="F46">
        <v>3199612</v>
      </c>
      <c r="G46" t="s">
        <v>16</v>
      </c>
      <c r="H46">
        <v>0</v>
      </c>
      <c r="I46">
        <v>0</v>
      </c>
      <c r="J46">
        <v>0.5988023952095809</v>
      </c>
    </row>
    <row r="47" spans="1:15" x14ac:dyDescent="0.2">
      <c r="A47" t="s">
        <v>67</v>
      </c>
      <c r="B47" t="s">
        <v>82</v>
      </c>
      <c r="C47" t="s">
        <v>12</v>
      </c>
      <c r="D47" t="s">
        <v>13</v>
      </c>
      <c r="E47">
        <v>41.75</v>
      </c>
      <c r="F47">
        <v>2086834</v>
      </c>
      <c r="G47" t="s">
        <v>83</v>
      </c>
      <c r="H47">
        <v>0</v>
      </c>
      <c r="I47">
        <v>0.5988023952095809</v>
      </c>
      <c r="J47">
        <v>0.5988023952095809</v>
      </c>
    </row>
    <row r="48" spans="1:15" x14ac:dyDescent="0.2">
      <c r="A48" t="s">
        <v>67</v>
      </c>
      <c r="B48" t="s">
        <v>82</v>
      </c>
      <c r="C48" t="s">
        <v>12</v>
      </c>
      <c r="D48" t="s">
        <v>15</v>
      </c>
      <c r="E48">
        <v>41.75</v>
      </c>
      <c r="F48">
        <v>2086834</v>
      </c>
      <c r="G48" t="s">
        <v>16</v>
      </c>
      <c r="H48">
        <v>0</v>
      </c>
      <c r="I48">
        <v>0.5988023952095809</v>
      </c>
      <c r="J48">
        <v>0.5988023952095809</v>
      </c>
    </row>
    <row r="49" spans="1:15" x14ac:dyDescent="0.2">
      <c r="A49" t="s">
        <v>67</v>
      </c>
      <c r="B49" t="s">
        <v>84</v>
      </c>
      <c r="C49" t="s">
        <v>12</v>
      </c>
      <c r="D49" t="s">
        <v>13</v>
      </c>
      <c r="E49">
        <v>42</v>
      </c>
      <c r="F49">
        <v>4643634</v>
      </c>
      <c r="G49" t="s">
        <v>85</v>
      </c>
      <c r="H49">
        <v>0</v>
      </c>
      <c r="I49">
        <v>0</v>
      </c>
      <c r="J49">
        <v>0</v>
      </c>
    </row>
    <row r="50" spans="1:15" x14ac:dyDescent="0.2">
      <c r="A50" s="3" t="s">
        <v>67</v>
      </c>
      <c r="B50" s="3" t="s">
        <v>86</v>
      </c>
      <c r="C50" s="3" t="s">
        <v>12</v>
      </c>
      <c r="D50" s="3" t="s">
        <v>13</v>
      </c>
      <c r="E50" s="11">
        <v>42</v>
      </c>
      <c r="F50" s="3">
        <v>3218141</v>
      </c>
      <c r="G50" s="3" t="s">
        <v>87</v>
      </c>
      <c r="H50" s="3">
        <v>0</v>
      </c>
      <c r="I50" s="3">
        <v>0</v>
      </c>
      <c r="J50" s="3">
        <v>0.59523809523809523</v>
      </c>
    </row>
    <row r="51" spans="1:15" x14ac:dyDescent="0.2">
      <c r="A51" t="s">
        <v>88</v>
      </c>
      <c r="B51" t="s">
        <v>89</v>
      </c>
      <c r="C51" t="s">
        <v>12</v>
      </c>
      <c r="D51" t="s">
        <v>13</v>
      </c>
      <c r="E51" s="5">
        <v>42.5</v>
      </c>
      <c r="F51">
        <v>4578256</v>
      </c>
      <c r="G51" t="s">
        <v>90</v>
      </c>
      <c r="H51">
        <v>-1.1764705882352939</v>
      </c>
      <c r="I51">
        <v>-0.58823529411764708</v>
      </c>
      <c r="J51">
        <v>-0.58823529411764708</v>
      </c>
    </row>
    <row r="52" spans="1:15" x14ac:dyDescent="0.2">
      <c r="A52" t="s">
        <v>88</v>
      </c>
      <c r="B52" t="s">
        <v>89</v>
      </c>
      <c r="C52" t="s">
        <v>12</v>
      </c>
      <c r="D52" t="s">
        <v>35</v>
      </c>
      <c r="E52">
        <v>42.5</v>
      </c>
      <c r="F52">
        <v>4578256</v>
      </c>
      <c r="G52" t="s">
        <v>91</v>
      </c>
      <c r="H52">
        <v>-1.1764705882352939</v>
      </c>
      <c r="I52">
        <v>-0.58823529411764708</v>
      </c>
      <c r="J52">
        <v>-0.58823529411764708</v>
      </c>
    </row>
    <row r="53" spans="1:15" x14ac:dyDescent="0.2">
      <c r="A53" t="s">
        <v>88</v>
      </c>
      <c r="B53" t="s">
        <v>92</v>
      </c>
      <c r="C53" t="s">
        <v>12</v>
      </c>
      <c r="D53" t="s">
        <v>13</v>
      </c>
      <c r="E53" s="5">
        <v>42.25</v>
      </c>
      <c r="F53">
        <v>531232</v>
      </c>
      <c r="G53" t="s">
        <v>93</v>
      </c>
      <c r="H53">
        <v>-1.1834319526627219</v>
      </c>
      <c r="I53">
        <v>-3.550295857988166</v>
      </c>
      <c r="J53">
        <v>-2.3668639053254439</v>
      </c>
    </row>
    <row r="54" spans="1:15" x14ac:dyDescent="0.2">
      <c r="A54" s="3" t="s">
        <v>88</v>
      </c>
      <c r="B54" s="3" t="s">
        <v>92</v>
      </c>
      <c r="C54" s="3" t="s">
        <v>12</v>
      </c>
      <c r="D54" s="3" t="s">
        <v>15</v>
      </c>
      <c r="E54" s="3">
        <v>42.25</v>
      </c>
      <c r="F54" s="3">
        <v>531232</v>
      </c>
      <c r="G54" s="3" t="s">
        <v>16</v>
      </c>
      <c r="H54" s="3">
        <v>-1.1834319526627219</v>
      </c>
      <c r="I54" s="3">
        <v>-3.550295857988166</v>
      </c>
      <c r="J54" s="3">
        <v>-2.3668639053254439</v>
      </c>
    </row>
    <row r="55" spans="1:15" x14ac:dyDescent="0.2">
      <c r="A55" t="s">
        <v>94</v>
      </c>
      <c r="B55" t="s">
        <v>95</v>
      </c>
      <c r="C55" t="s">
        <v>12</v>
      </c>
      <c r="D55" t="s">
        <v>13</v>
      </c>
      <c r="E55">
        <v>41.75</v>
      </c>
      <c r="F55">
        <v>2738162</v>
      </c>
      <c r="G55" t="s">
        <v>96</v>
      </c>
      <c r="H55">
        <v>-1.796407185628742</v>
      </c>
      <c r="I55">
        <v>-1.796407185628742</v>
      </c>
      <c r="J55">
        <v>-1.197604790419162</v>
      </c>
    </row>
    <row r="56" spans="1:15" x14ac:dyDescent="0.2">
      <c r="A56" t="s">
        <v>94</v>
      </c>
      <c r="B56" t="s">
        <v>95</v>
      </c>
      <c r="C56" t="s">
        <v>12</v>
      </c>
      <c r="D56" t="s">
        <v>15</v>
      </c>
      <c r="E56">
        <v>41.75</v>
      </c>
      <c r="F56">
        <v>2738162</v>
      </c>
      <c r="G56" t="s">
        <v>16</v>
      </c>
      <c r="H56">
        <v>-1.796407185628742</v>
      </c>
      <c r="I56">
        <v>-1.796407185628742</v>
      </c>
      <c r="J56">
        <v>-1.197604790419162</v>
      </c>
    </row>
    <row r="57" spans="1:15" x14ac:dyDescent="0.2">
      <c r="A57" t="s">
        <v>94</v>
      </c>
      <c r="B57" t="s">
        <v>97</v>
      </c>
      <c r="C57" t="s">
        <v>12</v>
      </c>
      <c r="D57" t="s">
        <v>13</v>
      </c>
      <c r="E57">
        <v>41.75</v>
      </c>
      <c r="F57">
        <v>2701951</v>
      </c>
      <c r="G57" t="s">
        <v>98</v>
      </c>
      <c r="H57">
        <v>-2.395209580838324</v>
      </c>
      <c r="I57">
        <v>-1.796407185628742</v>
      </c>
      <c r="J57">
        <v>-1.197604790419162</v>
      </c>
    </row>
    <row r="58" spans="1:15" x14ac:dyDescent="0.2">
      <c r="A58" t="s">
        <v>94</v>
      </c>
      <c r="B58" t="s">
        <v>97</v>
      </c>
      <c r="C58" t="s">
        <v>12</v>
      </c>
      <c r="D58" t="s">
        <v>15</v>
      </c>
      <c r="E58">
        <v>41.75</v>
      </c>
      <c r="F58">
        <v>2701951</v>
      </c>
      <c r="G58" t="s">
        <v>16</v>
      </c>
      <c r="H58">
        <v>-2.395209580838324</v>
      </c>
      <c r="I58">
        <v>-1.796407185628742</v>
      </c>
      <c r="J58">
        <v>-1.197604790419162</v>
      </c>
    </row>
    <row r="59" spans="1:15" x14ac:dyDescent="0.2">
      <c r="A59" t="s">
        <v>94</v>
      </c>
      <c r="B59" t="s">
        <v>99</v>
      </c>
      <c r="C59" t="s">
        <v>12</v>
      </c>
      <c r="D59" t="s">
        <v>13</v>
      </c>
      <c r="E59">
        <v>41.25</v>
      </c>
      <c r="F59">
        <v>1661156</v>
      </c>
      <c r="G59" t="s">
        <v>100</v>
      </c>
      <c r="H59">
        <v>-1.2121212121212119</v>
      </c>
      <c r="I59">
        <v>0</v>
      </c>
      <c r="J59">
        <v>0.60606060606060608</v>
      </c>
    </row>
    <row r="60" spans="1:15" x14ac:dyDescent="0.2">
      <c r="A60" t="s">
        <v>94</v>
      </c>
      <c r="B60" t="s">
        <v>101</v>
      </c>
      <c r="C60" t="s">
        <v>12</v>
      </c>
      <c r="D60" t="s">
        <v>13</v>
      </c>
      <c r="E60" s="4">
        <v>41</v>
      </c>
      <c r="F60">
        <v>1699547</v>
      </c>
      <c r="G60" t="s">
        <v>102</v>
      </c>
      <c r="H60" s="4">
        <v>0</v>
      </c>
      <c r="I60" s="4">
        <v>0.6097560975609756</v>
      </c>
      <c r="J60" s="4">
        <v>1.219512195121951</v>
      </c>
      <c r="L60" s="9"/>
      <c r="M60" s="6"/>
      <c r="N60" s="9"/>
      <c r="O60" s="10" t="e">
        <f>((M61-M60)/M60)</f>
        <v>#DIV/0!</v>
      </c>
    </row>
    <row r="61" spans="1:15" x14ac:dyDescent="0.2">
      <c r="A61" t="s">
        <v>94</v>
      </c>
      <c r="B61" t="s">
        <v>103</v>
      </c>
      <c r="C61" t="s">
        <v>12</v>
      </c>
      <c r="D61" t="s">
        <v>13</v>
      </c>
      <c r="E61" s="7">
        <v>40.75</v>
      </c>
      <c r="F61">
        <v>5033420</v>
      </c>
      <c r="G61" t="s">
        <v>104</v>
      </c>
      <c r="H61">
        <v>0.61349693251533743</v>
      </c>
      <c r="I61">
        <v>1.2269938650306751</v>
      </c>
      <c r="J61">
        <v>1.8404907975460121</v>
      </c>
      <c r="L61" s="9"/>
      <c r="M61" s="6"/>
      <c r="N61" s="9"/>
    </row>
    <row r="62" spans="1:15" x14ac:dyDescent="0.2">
      <c r="A62" t="s">
        <v>94</v>
      </c>
      <c r="B62" t="s">
        <v>105</v>
      </c>
      <c r="C62" t="s">
        <v>12</v>
      </c>
      <c r="D62" t="s">
        <v>13</v>
      </c>
      <c r="E62">
        <v>40.75</v>
      </c>
      <c r="F62">
        <v>4900294</v>
      </c>
      <c r="G62" t="s">
        <v>106</v>
      </c>
      <c r="H62">
        <v>1.2269938650306751</v>
      </c>
      <c r="I62">
        <v>1.2269938650306751</v>
      </c>
      <c r="J62">
        <v>1.2269938650306751</v>
      </c>
    </row>
    <row r="63" spans="1:15" x14ac:dyDescent="0.2">
      <c r="A63" t="s">
        <v>94</v>
      </c>
      <c r="B63" t="s">
        <v>105</v>
      </c>
      <c r="C63" t="s">
        <v>12</v>
      </c>
      <c r="D63" t="s">
        <v>15</v>
      </c>
      <c r="E63">
        <v>40.75</v>
      </c>
      <c r="F63">
        <v>4900294</v>
      </c>
      <c r="G63" t="s">
        <v>16</v>
      </c>
      <c r="H63">
        <v>1.2269938650306751</v>
      </c>
      <c r="I63">
        <v>1.2269938650306751</v>
      </c>
      <c r="J63">
        <v>1.2269938650306751</v>
      </c>
    </row>
    <row r="64" spans="1:15" x14ac:dyDescent="0.2">
      <c r="A64" t="s">
        <v>94</v>
      </c>
      <c r="B64" t="s">
        <v>107</v>
      </c>
      <c r="C64" t="s">
        <v>12</v>
      </c>
      <c r="D64" t="s">
        <v>13</v>
      </c>
      <c r="E64" s="5">
        <v>41.5</v>
      </c>
      <c r="F64">
        <v>1353519</v>
      </c>
      <c r="G64" t="s">
        <v>108</v>
      </c>
      <c r="H64">
        <v>-0.60240963855421692</v>
      </c>
      <c r="I64">
        <v>-1.2048192771084341</v>
      </c>
      <c r="J64">
        <v>-1.2048192771084341</v>
      </c>
    </row>
    <row r="65" spans="1:10" x14ac:dyDescent="0.2">
      <c r="A65" t="s">
        <v>94</v>
      </c>
      <c r="B65" t="s">
        <v>107</v>
      </c>
      <c r="C65" t="s">
        <v>12</v>
      </c>
      <c r="D65" t="s">
        <v>35</v>
      </c>
      <c r="E65">
        <v>41.5</v>
      </c>
      <c r="F65">
        <v>1353519</v>
      </c>
      <c r="G65" t="s">
        <v>109</v>
      </c>
      <c r="H65">
        <v>-0.60240963855421692</v>
      </c>
      <c r="I65">
        <v>-1.2048192771084341</v>
      </c>
      <c r="J65">
        <v>-1.2048192771084341</v>
      </c>
    </row>
    <row r="66" spans="1:10" x14ac:dyDescent="0.2">
      <c r="A66" t="s">
        <v>94</v>
      </c>
      <c r="B66" t="s">
        <v>110</v>
      </c>
      <c r="C66" t="s">
        <v>12</v>
      </c>
      <c r="D66" t="s">
        <v>13</v>
      </c>
      <c r="E66">
        <v>41.25</v>
      </c>
      <c r="F66">
        <v>1124826</v>
      </c>
      <c r="G66" t="s">
        <v>111</v>
      </c>
      <c r="H66">
        <v>-0.60606060606060608</v>
      </c>
      <c r="I66">
        <v>-0.60606060606060608</v>
      </c>
      <c r="J66">
        <v>0</v>
      </c>
    </row>
    <row r="67" spans="1:10" x14ac:dyDescent="0.2">
      <c r="A67" t="s">
        <v>94</v>
      </c>
      <c r="B67" t="s">
        <v>110</v>
      </c>
      <c r="C67" t="s">
        <v>12</v>
      </c>
      <c r="D67" t="s">
        <v>15</v>
      </c>
      <c r="E67">
        <v>41.25</v>
      </c>
      <c r="F67">
        <v>1124826</v>
      </c>
      <c r="G67" t="s">
        <v>16</v>
      </c>
      <c r="H67">
        <v>-0.60606060606060608</v>
      </c>
      <c r="I67">
        <v>-0.60606060606060608</v>
      </c>
      <c r="J67">
        <v>0</v>
      </c>
    </row>
    <row r="68" spans="1:10" x14ac:dyDescent="0.2">
      <c r="A68" s="3" t="s">
        <v>94</v>
      </c>
      <c r="B68" s="3" t="s">
        <v>112</v>
      </c>
      <c r="C68" s="3" t="s">
        <v>12</v>
      </c>
      <c r="D68" s="3" t="s">
        <v>13</v>
      </c>
      <c r="E68" s="3">
        <v>41</v>
      </c>
      <c r="F68" s="3">
        <v>621818</v>
      </c>
      <c r="G68" s="3" t="s">
        <v>113</v>
      </c>
      <c r="H68" s="3">
        <v>0</v>
      </c>
      <c r="I68" s="3">
        <v>-1.219512195121951</v>
      </c>
      <c r="J68" s="3">
        <v>-1.8292682926829269</v>
      </c>
    </row>
    <row r="69" spans="1:10" x14ac:dyDescent="0.2">
      <c r="A69" t="s">
        <v>114</v>
      </c>
      <c r="B69" t="s">
        <v>115</v>
      </c>
      <c r="C69" t="s">
        <v>12</v>
      </c>
      <c r="D69" t="s">
        <v>13</v>
      </c>
      <c r="E69">
        <v>41</v>
      </c>
      <c r="F69">
        <v>1487243</v>
      </c>
      <c r="G69" t="s">
        <v>116</v>
      </c>
      <c r="H69">
        <v>-1.219512195121951</v>
      </c>
      <c r="I69">
        <v>-1.8292682926829269</v>
      </c>
      <c r="J69">
        <v>-2.4390243902439019</v>
      </c>
    </row>
    <row r="70" spans="1:10" x14ac:dyDescent="0.2">
      <c r="A70" t="s">
        <v>114</v>
      </c>
      <c r="B70" t="s">
        <v>117</v>
      </c>
      <c r="C70" t="s">
        <v>12</v>
      </c>
      <c r="D70" t="s">
        <v>13</v>
      </c>
      <c r="E70">
        <v>40.5</v>
      </c>
      <c r="F70">
        <v>2002580</v>
      </c>
      <c r="G70" t="s">
        <v>118</v>
      </c>
      <c r="H70">
        <v>-0.61728395061728392</v>
      </c>
      <c r="I70">
        <v>-0.61728395061728392</v>
      </c>
      <c r="J70">
        <v>-0.61728395061728392</v>
      </c>
    </row>
    <row r="71" spans="1:10" x14ac:dyDescent="0.2">
      <c r="A71" t="s">
        <v>114</v>
      </c>
      <c r="B71" t="s">
        <v>119</v>
      </c>
      <c r="C71" t="s">
        <v>12</v>
      </c>
      <c r="D71" t="s">
        <v>13</v>
      </c>
      <c r="E71">
        <v>40.5</v>
      </c>
      <c r="F71">
        <v>1288311</v>
      </c>
      <c r="G71" t="s">
        <v>120</v>
      </c>
      <c r="H71">
        <v>0</v>
      </c>
      <c r="I71">
        <v>-1.2345679012345681</v>
      </c>
      <c r="J71">
        <v>-1.2345679012345681</v>
      </c>
    </row>
    <row r="72" spans="1:10" x14ac:dyDescent="0.2">
      <c r="A72" t="s">
        <v>114</v>
      </c>
      <c r="B72" t="s">
        <v>119</v>
      </c>
      <c r="C72" t="s">
        <v>12</v>
      </c>
      <c r="D72" t="s">
        <v>15</v>
      </c>
      <c r="E72">
        <v>40.5</v>
      </c>
      <c r="F72">
        <v>1288311</v>
      </c>
      <c r="G72" t="s">
        <v>16</v>
      </c>
      <c r="H72">
        <v>0</v>
      </c>
      <c r="I72">
        <v>-1.2345679012345681</v>
      </c>
      <c r="J72">
        <v>-1.2345679012345681</v>
      </c>
    </row>
    <row r="73" spans="1:10" x14ac:dyDescent="0.2">
      <c r="A73" t="s">
        <v>114</v>
      </c>
      <c r="B73" t="s">
        <v>121</v>
      </c>
      <c r="C73" t="s">
        <v>12</v>
      </c>
      <c r="D73" t="s">
        <v>13</v>
      </c>
      <c r="E73">
        <v>40</v>
      </c>
      <c r="F73">
        <v>2510100</v>
      </c>
      <c r="G73" t="s">
        <v>122</v>
      </c>
      <c r="H73">
        <v>0</v>
      </c>
      <c r="I73">
        <v>0</v>
      </c>
      <c r="J73">
        <v>0</v>
      </c>
    </row>
    <row r="74" spans="1:10" x14ac:dyDescent="0.2">
      <c r="A74" t="s">
        <v>114</v>
      </c>
      <c r="B74" t="s">
        <v>123</v>
      </c>
      <c r="C74" t="s">
        <v>12</v>
      </c>
      <c r="D74" t="s">
        <v>13</v>
      </c>
      <c r="E74">
        <v>40</v>
      </c>
      <c r="F74">
        <v>1792718</v>
      </c>
      <c r="G74" t="s">
        <v>124</v>
      </c>
      <c r="H74">
        <v>0</v>
      </c>
      <c r="I74">
        <v>0.625</v>
      </c>
      <c r="J74">
        <v>0</v>
      </c>
    </row>
    <row r="75" spans="1:10" x14ac:dyDescent="0.2">
      <c r="A75" t="s">
        <v>114</v>
      </c>
      <c r="B75" t="s">
        <v>123</v>
      </c>
      <c r="C75" t="s">
        <v>12</v>
      </c>
      <c r="D75" t="s">
        <v>15</v>
      </c>
      <c r="E75">
        <v>40</v>
      </c>
      <c r="F75">
        <v>1792718</v>
      </c>
      <c r="G75" t="s">
        <v>16</v>
      </c>
      <c r="H75">
        <v>0</v>
      </c>
      <c r="I75">
        <v>0.625</v>
      </c>
      <c r="J75">
        <v>0</v>
      </c>
    </row>
    <row r="76" spans="1:10" x14ac:dyDescent="0.2">
      <c r="A76" t="s">
        <v>114</v>
      </c>
      <c r="B76" t="s">
        <v>125</v>
      </c>
      <c r="C76" t="s">
        <v>12</v>
      </c>
      <c r="D76" t="s">
        <v>13</v>
      </c>
      <c r="E76">
        <v>40</v>
      </c>
      <c r="F76">
        <v>2998859</v>
      </c>
      <c r="G76" t="s">
        <v>126</v>
      </c>
      <c r="H76">
        <v>-0.625</v>
      </c>
      <c r="I76">
        <v>0</v>
      </c>
      <c r="J76">
        <v>0</v>
      </c>
    </row>
    <row r="77" spans="1:10" x14ac:dyDescent="0.2">
      <c r="A77" t="s">
        <v>114</v>
      </c>
      <c r="B77" t="s">
        <v>125</v>
      </c>
      <c r="C77" t="s">
        <v>12</v>
      </c>
      <c r="D77" t="s">
        <v>15</v>
      </c>
      <c r="E77">
        <v>40</v>
      </c>
      <c r="F77">
        <v>2998859</v>
      </c>
      <c r="G77" t="s">
        <v>16</v>
      </c>
      <c r="H77">
        <v>-0.625</v>
      </c>
      <c r="I77">
        <v>0</v>
      </c>
      <c r="J77">
        <v>0</v>
      </c>
    </row>
    <row r="78" spans="1:10" x14ac:dyDescent="0.2">
      <c r="A78" t="s">
        <v>114</v>
      </c>
      <c r="B78" t="s">
        <v>127</v>
      </c>
      <c r="C78" t="s">
        <v>12</v>
      </c>
      <c r="D78" t="s">
        <v>13</v>
      </c>
      <c r="E78">
        <v>40</v>
      </c>
      <c r="F78">
        <v>3621204</v>
      </c>
      <c r="G78" t="s">
        <v>128</v>
      </c>
      <c r="H78">
        <v>-0.625</v>
      </c>
      <c r="I78">
        <v>0</v>
      </c>
      <c r="J78">
        <v>-0.625</v>
      </c>
    </row>
    <row r="79" spans="1:10" x14ac:dyDescent="0.2">
      <c r="A79" t="s">
        <v>114</v>
      </c>
      <c r="B79" t="s">
        <v>127</v>
      </c>
      <c r="C79" t="s">
        <v>12</v>
      </c>
      <c r="D79" t="s">
        <v>15</v>
      </c>
      <c r="E79">
        <v>40</v>
      </c>
      <c r="F79">
        <v>3621204</v>
      </c>
      <c r="G79" t="s">
        <v>16</v>
      </c>
      <c r="H79">
        <v>-0.625</v>
      </c>
      <c r="I79">
        <v>0</v>
      </c>
      <c r="J79">
        <v>-0.625</v>
      </c>
    </row>
    <row r="80" spans="1:10" x14ac:dyDescent="0.2">
      <c r="A80" t="s">
        <v>114</v>
      </c>
      <c r="B80" t="s">
        <v>129</v>
      </c>
      <c r="C80" t="s">
        <v>12</v>
      </c>
      <c r="D80" t="s">
        <v>13</v>
      </c>
      <c r="E80">
        <v>39.75</v>
      </c>
      <c r="F80">
        <v>3406106</v>
      </c>
      <c r="G80" t="s">
        <v>130</v>
      </c>
      <c r="H80">
        <v>0</v>
      </c>
      <c r="I80">
        <v>-0.62893081761006298</v>
      </c>
      <c r="J80">
        <v>-0.62893081761006298</v>
      </c>
    </row>
    <row r="81" spans="1:15" x14ac:dyDescent="0.2">
      <c r="A81" t="s">
        <v>114</v>
      </c>
      <c r="B81" t="s">
        <v>129</v>
      </c>
      <c r="C81" t="s">
        <v>12</v>
      </c>
      <c r="D81" t="s">
        <v>15</v>
      </c>
      <c r="E81">
        <v>39.75</v>
      </c>
      <c r="F81">
        <v>3406106</v>
      </c>
      <c r="G81" t="s">
        <v>16</v>
      </c>
      <c r="H81">
        <v>0</v>
      </c>
      <c r="I81">
        <v>-0.62893081761006298</v>
      </c>
      <c r="J81">
        <v>-0.62893081761006298</v>
      </c>
    </row>
    <row r="82" spans="1:15" x14ac:dyDescent="0.2">
      <c r="A82" s="3" t="s">
        <v>114</v>
      </c>
      <c r="B82" s="3" t="s">
        <v>131</v>
      </c>
      <c r="C82" s="3" t="s">
        <v>12</v>
      </c>
      <c r="D82" s="3" t="s">
        <v>13</v>
      </c>
      <c r="E82" s="11">
        <v>39.25</v>
      </c>
      <c r="F82" s="3">
        <v>1511324</v>
      </c>
      <c r="G82" s="3" t="s">
        <v>132</v>
      </c>
      <c r="H82" s="11">
        <v>1.2738853503184711</v>
      </c>
      <c r="I82" s="11">
        <v>0.63694267515923575</v>
      </c>
      <c r="J82" s="11">
        <v>1.2738853503184711</v>
      </c>
      <c r="L82" s="9"/>
      <c r="M82" s="6"/>
      <c r="N82" s="9"/>
      <c r="O82" s="10" t="e">
        <f>((M83-M82)/M82)</f>
        <v>#DIV/0!</v>
      </c>
    </row>
    <row r="83" spans="1:15" x14ac:dyDescent="0.2">
      <c r="A83" t="s">
        <v>133</v>
      </c>
      <c r="B83" t="s">
        <v>134</v>
      </c>
      <c r="C83" t="s">
        <v>12</v>
      </c>
      <c r="D83" t="s">
        <v>13</v>
      </c>
      <c r="E83" s="5">
        <v>39.75</v>
      </c>
      <c r="F83">
        <v>2645404</v>
      </c>
      <c r="G83" t="s">
        <v>135</v>
      </c>
      <c r="H83">
        <v>-0.62893081761006298</v>
      </c>
      <c r="I83">
        <v>0</v>
      </c>
      <c r="J83">
        <v>0</v>
      </c>
      <c r="L83" s="9"/>
      <c r="M83" s="6"/>
      <c r="N83" s="9"/>
    </row>
    <row r="84" spans="1:15" x14ac:dyDescent="0.2">
      <c r="A84" t="s">
        <v>133</v>
      </c>
      <c r="B84" t="s">
        <v>134</v>
      </c>
      <c r="C84" t="s">
        <v>12</v>
      </c>
      <c r="D84" t="s">
        <v>15</v>
      </c>
      <c r="E84">
        <v>39.75</v>
      </c>
      <c r="F84">
        <v>2645404</v>
      </c>
      <c r="G84" t="s">
        <v>16</v>
      </c>
      <c r="H84">
        <v>-0.62893081761006298</v>
      </c>
      <c r="I84">
        <v>0</v>
      </c>
      <c r="J84">
        <v>0</v>
      </c>
    </row>
    <row r="85" spans="1:15" x14ac:dyDescent="0.2">
      <c r="A85" t="s">
        <v>133</v>
      </c>
      <c r="B85" t="s">
        <v>136</v>
      </c>
      <c r="C85" t="s">
        <v>12</v>
      </c>
      <c r="D85" t="s">
        <v>13</v>
      </c>
      <c r="E85" s="4">
        <v>39.75</v>
      </c>
      <c r="F85">
        <v>3997600</v>
      </c>
      <c r="G85" t="s">
        <v>137</v>
      </c>
      <c r="H85">
        <v>0</v>
      </c>
      <c r="I85">
        <v>0.62893081761006298</v>
      </c>
      <c r="J85">
        <v>0.62893081761006298</v>
      </c>
    </row>
    <row r="86" spans="1:15" x14ac:dyDescent="0.2">
      <c r="A86" t="s">
        <v>133</v>
      </c>
      <c r="B86" t="s">
        <v>136</v>
      </c>
      <c r="C86" t="s">
        <v>12</v>
      </c>
      <c r="D86" t="s">
        <v>15</v>
      </c>
      <c r="E86">
        <v>39.75</v>
      </c>
      <c r="F86">
        <v>3997600</v>
      </c>
      <c r="G86" t="s">
        <v>16</v>
      </c>
      <c r="H86">
        <v>0</v>
      </c>
      <c r="I86">
        <v>0.62893081761006298</v>
      </c>
      <c r="J86">
        <v>0.62893081761006298</v>
      </c>
    </row>
    <row r="87" spans="1:15" x14ac:dyDescent="0.2">
      <c r="A87" s="3" t="s">
        <v>133</v>
      </c>
      <c r="B87" s="3" t="s">
        <v>138</v>
      </c>
      <c r="C87" s="3" t="s">
        <v>12</v>
      </c>
      <c r="D87" s="3" t="s">
        <v>13</v>
      </c>
      <c r="E87" s="3">
        <v>39.75</v>
      </c>
      <c r="F87" s="3">
        <v>1770247</v>
      </c>
      <c r="G87" s="3" t="s">
        <v>139</v>
      </c>
      <c r="H87" s="3">
        <v>0</v>
      </c>
      <c r="I87" s="3">
        <v>0</v>
      </c>
      <c r="J87" s="3">
        <v>0</v>
      </c>
    </row>
    <row r="88" spans="1:15" x14ac:dyDescent="0.2">
      <c r="A88" t="s">
        <v>140</v>
      </c>
      <c r="B88" t="s">
        <v>141</v>
      </c>
      <c r="C88" t="s">
        <v>12</v>
      </c>
      <c r="D88" t="s">
        <v>13</v>
      </c>
      <c r="E88" s="4">
        <v>39.25</v>
      </c>
      <c r="F88">
        <v>3352536</v>
      </c>
      <c r="G88" t="s">
        <v>142</v>
      </c>
      <c r="H88">
        <v>0.63694267515923575</v>
      </c>
      <c r="I88">
        <v>1.2738853503184711</v>
      </c>
      <c r="J88">
        <v>0.63694267515923575</v>
      </c>
    </row>
    <row r="89" spans="1:15" x14ac:dyDescent="0.2">
      <c r="A89" t="s">
        <v>140</v>
      </c>
      <c r="B89" t="s">
        <v>141</v>
      </c>
      <c r="C89" t="s">
        <v>12</v>
      </c>
      <c r="D89" t="s">
        <v>35</v>
      </c>
      <c r="E89">
        <v>39.25</v>
      </c>
      <c r="F89">
        <v>3352536</v>
      </c>
      <c r="G89" t="s">
        <v>143</v>
      </c>
      <c r="H89">
        <v>0.63694267515923575</v>
      </c>
      <c r="I89">
        <v>1.2738853503184711</v>
      </c>
      <c r="J89">
        <v>0.63694267515923575</v>
      </c>
    </row>
    <row r="90" spans="1:15" x14ac:dyDescent="0.2">
      <c r="A90" t="s">
        <v>140</v>
      </c>
      <c r="B90" t="s">
        <v>144</v>
      </c>
      <c r="C90" t="s">
        <v>12</v>
      </c>
      <c r="D90" t="s">
        <v>13</v>
      </c>
      <c r="E90" s="4">
        <v>39.5</v>
      </c>
      <c r="F90">
        <v>2485637</v>
      </c>
      <c r="G90" t="s">
        <v>145</v>
      </c>
      <c r="H90">
        <v>0</v>
      </c>
      <c r="I90">
        <v>0.63291139240506333</v>
      </c>
      <c r="J90">
        <v>0.63291139240506333</v>
      </c>
    </row>
    <row r="91" spans="1:15" x14ac:dyDescent="0.2">
      <c r="A91" t="s">
        <v>140</v>
      </c>
      <c r="B91" t="s">
        <v>146</v>
      </c>
      <c r="C91" t="s">
        <v>12</v>
      </c>
      <c r="D91" t="s">
        <v>13</v>
      </c>
      <c r="E91" s="5">
        <v>39.75</v>
      </c>
      <c r="F91">
        <v>1990375</v>
      </c>
      <c r="G91" t="s">
        <v>147</v>
      </c>
      <c r="H91">
        <v>0</v>
      </c>
      <c r="I91">
        <v>0</v>
      </c>
      <c r="J91">
        <v>-0.62893081761006298</v>
      </c>
    </row>
    <row r="92" spans="1:15" x14ac:dyDescent="0.2">
      <c r="A92" t="s">
        <v>140</v>
      </c>
      <c r="B92" t="s">
        <v>148</v>
      </c>
      <c r="C92" t="s">
        <v>12</v>
      </c>
      <c r="D92" t="s">
        <v>13</v>
      </c>
      <c r="E92" s="4">
        <v>39.5</v>
      </c>
      <c r="F92">
        <v>1198169</v>
      </c>
      <c r="G92" t="s">
        <v>149</v>
      </c>
      <c r="H92">
        <v>0</v>
      </c>
      <c r="I92">
        <v>1.2658227848101271</v>
      </c>
      <c r="J92">
        <v>1.2658227848101271</v>
      </c>
    </row>
    <row r="93" spans="1:15" x14ac:dyDescent="0.2">
      <c r="A93" t="s">
        <v>140</v>
      </c>
      <c r="B93" t="s">
        <v>148</v>
      </c>
      <c r="C93" t="s">
        <v>12</v>
      </c>
      <c r="D93" t="s">
        <v>15</v>
      </c>
      <c r="E93">
        <v>39.5</v>
      </c>
      <c r="F93">
        <v>1198169</v>
      </c>
      <c r="G93" t="s">
        <v>16</v>
      </c>
      <c r="H93">
        <v>0</v>
      </c>
      <c r="I93">
        <v>1.2658227848101271</v>
      </c>
      <c r="J93">
        <v>1.2658227848101271</v>
      </c>
    </row>
    <row r="94" spans="1:15" x14ac:dyDescent="0.2">
      <c r="A94" t="s">
        <v>140</v>
      </c>
      <c r="B94" t="s">
        <v>150</v>
      </c>
      <c r="C94" t="s">
        <v>12</v>
      </c>
      <c r="D94" t="s">
        <v>13</v>
      </c>
      <c r="E94">
        <v>40</v>
      </c>
      <c r="F94">
        <v>3008052</v>
      </c>
      <c r="G94" t="s">
        <v>151</v>
      </c>
      <c r="H94">
        <v>0</v>
      </c>
      <c r="I94">
        <v>0</v>
      </c>
      <c r="J94">
        <v>0</v>
      </c>
    </row>
    <row r="95" spans="1:15" x14ac:dyDescent="0.2">
      <c r="A95" t="s">
        <v>140</v>
      </c>
      <c r="B95" t="s">
        <v>150</v>
      </c>
      <c r="C95" t="s">
        <v>12</v>
      </c>
      <c r="D95" t="s">
        <v>35</v>
      </c>
      <c r="E95">
        <v>40</v>
      </c>
      <c r="F95">
        <v>3008052</v>
      </c>
      <c r="G95" t="s">
        <v>152</v>
      </c>
      <c r="H95">
        <v>0</v>
      </c>
      <c r="I95">
        <v>0</v>
      </c>
      <c r="J95">
        <v>0</v>
      </c>
    </row>
    <row r="96" spans="1:15" x14ac:dyDescent="0.2">
      <c r="A96" t="s">
        <v>140</v>
      </c>
      <c r="B96" t="s">
        <v>153</v>
      </c>
      <c r="C96" t="s">
        <v>12</v>
      </c>
      <c r="D96" t="s">
        <v>13</v>
      </c>
      <c r="E96" s="5">
        <v>40</v>
      </c>
      <c r="F96">
        <v>2895477</v>
      </c>
      <c r="G96" t="s">
        <v>154</v>
      </c>
      <c r="H96">
        <v>0</v>
      </c>
      <c r="I96">
        <v>0</v>
      </c>
      <c r="J96">
        <v>-0.625</v>
      </c>
    </row>
    <row r="97" spans="1:15" x14ac:dyDescent="0.2">
      <c r="A97" t="s">
        <v>140</v>
      </c>
      <c r="B97" t="s">
        <v>153</v>
      </c>
      <c r="C97" t="s">
        <v>12</v>
      </c>
      <c r="D97" t="s">
        <v>15</v>
      </c>
      <c r="E97">
        <v>40</v>
      </c>
      <c r="F97">
        <v>2895477</v>
      </c>
      <c r="G97" t="s">
        <v>16</v>
      </c>
      <c r="H97">
        <v>0</v>
      </c>
      <c r="I97">
        <v>0</v>
      </c>
      <c r="J97">
        <v>-0.625</v>
      </c>
    </row>
    <row r="98" spans="1:15" x14ac:dyDescent="0.2">
      <c r="A98" t="s">
        <v>140</v>
      </c>
      <c r="B98" t="s">
        <v>155</v>
      </c>
      <c r="C98" t="s">
        <v>12</v>
      </c>
      <c r="D98" t="s">
        <v>13</v>
      </c>
      <c r="E98">
        <v>40</v>
      </c>
      <c r="F98">
        <v>2060555</v>
      </c>
      <c r="G98" t="s">
        <v>156</v>
      </c>
      <c r="H98">
        <v>0</v>
      </c>
      <c r="I98">
        <v>0</v>
      </c>
      <c r="J98">
        <v>0</v>
      </c>
    </row>
    <row r="99" spans="1:15" x14ac:dyDescent="0.2">
      <c r="A99" s="3" t="s">
        <v>140</v>
      </c>
      <c r="B99" s="3" t="s">
        <v>157</v>
      </c>
      <c r="C99" s="3" t="s">
        <v>12</v>
      </c>
      <c r="D99" s="3" t="s">
        <v>13</v>
      </c>
      <c r="E99" s="11">
        <v>39.5</v>
      </c>
      <c r="F99" s="3">
        <v>1183871</v>
      </c>
      <c r="G99" s="3" t="s">
        <v>158</v>
      </c>
      <c r="H99" s="11">
        <v>2.5316455696202529</v>
      </c>
      <c r="I99" s="11">
        <v>2.5316455696202529</v>
      </c>
      <c r="J99" s="11">
        <v>1.89873417721519</v>
      </c>
      <c r="L99" s="9"/>
      <c r="M99" s="6"/>
      <c r="N99" s="9"/>
      <c r="O99" s="10" t="e">
        <f>((M100-M99)/M99)</f>
        <v>#DIV/0!</v>
      </c>
    </row>
    <row r="100" spans="1:15" x14ac:dyDescent="0.2">
      <c r="A100" t="s">
        <v>159</v>
      </c>
      <c r="B100" t="s">
        <v>160</v>
      </c>
      <c r="C100" t="s">
        <v>12</v>
      </c>
      <c r="D100" t="s">
        <v>35</v>
      </c>
      <c r="E100">
        <v>40.5</v>
      </c>
      <c r="F100">
        <v>0</v>
      </c>
      <c r="G100" t="s">
        <v>161</v>
      </c>
      <c r="H100">
        <v>0</v>
      </c>
      <c r="I100">
        <v>0</v>
      </c>
      <c r="J100">
        <v>-0.61728395061728392</v>
      </c>
      <c r="L100" s="9"/>
      <c r="M100" s="6"/>
      <c r="N100" s="9"/>
    </row>
    <row r="101" spans="1:15" x14ac:dyDescent="0.2">
      <c r="A101" t="s">
        <v>159</v>
      </c>
      <c r="B101" t="s">
        <v>162</v>
      </c>
      <c r="C101" t="s">
        <v>12</v>
      </c>
      <c r="D101" t="s">
        <v>13</v>
      </c>
      <c r="E101" s="5">
        <v>40.5</v>
      </c>
      <c r="F101">
        <v>1093271</v>
      </c>
      <c r="G101" t="s">
        <v>163</v>
      </c>
      <c r="H101">
        <v>0</v>
      </c>
      <c r="I101">
        <v>-0.61728395061728392</v>
      </c>
      <c r="J101">
        <v>-0.61728395061728392</v>
      </c>
    </row>
    <row r="102" spans="1:15" x14ac:dyDescent="0.2">
      <c r="A102" t="s">
        <v>159</v>
      </c>
      <c r="B102" t="s">
        <v>162</v>
      </c>
      <c r="C102" t="s">
        <v>12</v>
      </c>
      <c r="D102" t="s">
        <v>15</v>
      </c>
      <c r="E102">
        <v>40.5</v>
      </c>
      <c r="F102">
        <v>1093271</v>
      </c>
      <c r="G102" t="s">
        <v>16</v>
      </c>
      <c r="H102">
        <v>0</v>
      </c>
      <c r="I102">
        <v>-0.61728395061728392</v>
      </c>
      <c r="J102">
        <v>-0.61728395061728392</v>
      </c>
    </row>
    <row r="103" spans="1:15" x14ac:dyDescent="0.2">
      <c r="A103" t="s">
        <v>159</v>
      </c>
      <c r="B103" t="s">
        <v>164</v>
      </c>
      <c r="C103" t="s">
        <v>12</v>
      </c>
      <c r="D103" t="s">
        <v>13</v>
      </c>
      <c r="E103">
        <v>40.5</v>
      </c>
      <c r="F103">
        <v>1437611</v>
      </c>
      <c r="G103" t="s">
        <v>165</v>
      </c>
      <c r="H103">
        <v>0</v>
      </c>
      <c r="I103">
        <v>0</v>
      </c>
      <c r="J103">
        <v>0</v>
      </c>
    </row>
    <row r="104" spans="1:15" x14ac:dyDescent="0.2">
      <c r="A104" t="s">
        <v>159</v>
      </c>
      <c r="B104" t="s">
        <v>164</v>
      </c>
      <c r="C104" t="s">
        <v>12</v>
      </c>
      <c r="D104" t="s">
        <v>15</v>
      </c>
      <c r="E104">
        <v>40.5</v>
      </c>
      <c r="F104">
        <v>1437611</v>
      </c>
      <c r="G104" t="s">
        <v>16</v>
      </c>
      <c r="H104">
        <v>0</v>
      </c>
      <c r="I104">
        <v>0</v>
      </c>
      <c r="J104">
        <v>0</v>
      </c>
    </row>
    <row r="105" spans="1:15" x14ac:dyDescent="0.2">
      <c r="A105" t="s">
        <v>159</v>
      </c>
      <c r="B105" t="s">
        <v>166</v>
      </c>
      <c r="C105" t="s">
        <v>12</v>
      </c>
      <c r="D105" t="s">
        <v>13</v>
      </c>
      <c r="E105">
        <v>40.5</v>
      </c>
      <c r="F105">
        <v>1685877</v>
      </c>
      <c r="G105" t="s">
        <v>167</v>
      </c>
      <c r="H105">
        <v>-0.61728395061728392</v>
      </c>
      <c r="I105">
        <v>-0.61728395061728392</v>
      </c>
      <c r="J105">
        <v>-0.61728395061728392</v>
      </c>
    </row>
    <row r="106" spans="1:15" x14ac:dyDescent="0.2">
      <c r="A106" t="s">
        <v>159</v>
      </c>
      <c r="B106" t="s">
        <v>166</v>
      </c>
      <c r="C106" t="s">
        <v>12</v>
      </c>
      <c r="D106" t="s">
        <v>15</v>
      </c>
      <c r="E106">
        <v>40.5</v>
      </c>
      <c r="F106">
        <v>1685877</v>
      </c>
      <c r="G106" t="s">
        <v>16</v>
      </c>
      <c r="H106">
        <v>-0.61728395061728392</v>
      </c>
      <c r="I106">
        <v>-0.61728395061728392</v>
      </c>
      <c r="J106">
        <v>-0.61728395061728392</v>
      </c>
    </row>
    <row r="107" spans="1:15" x14ac:dyDescent="0.2">
      <c r="A107" t="s">
        <v>159</v>
      </c>
      <c r="B107" t="s">
        <v>168</v>
      </c>
      <c r="C107" t="s">
        <v>12</v>
      </c>
      <c r="D107" t="s">
        <v>13</v>
      </c>
      <c r="E107">
        <v>40.25</v>
      </c>
      <c r="F107">
        <v>2316899</v>
      </c>
      <c r="G107" t="s">
        <v>169</v>
      </c>
      <c r="H107">
        <v>0</v>
      </c>
      <c r="I107">
        <v>0</v>
      </c>
      <c r="J107">
        <v>0</v>
      </c>
    </row>
    <row r="108" spans="1:15" x14ac:dyDescent="0.2">
      <c r="A108" t="s">
        <v>159</v>
      </c>
      <c r="B108" t="s">
        <v>170</v>
      </c>
      <c r="C108" t="s">
        <v>12</v>
      </c>
      <c r="D108" t="s">
        <v>13</v>
      </c>
      <c r="E108" s="4">
        <v>40.5</v>
      </c>
      <c r="F108">
        <v>1609462</v>
      </c>
      <c r="G108" t="s">
        <v>171</v>
      </c>
      <c r="H108">
        <v>0.61728395061728392</v>
      </c>
      <c r="I108">
        <v>0.61728395061728392</v>
      </c>
      <c r="J108">
        <v>0.61728395061728392</v>
      </c>
    </row>
    <row r="109" spans="1:15" x14ac:dyDescent="0.2">
      <c r="A109" s="3" t="s">
        <v>159</v>
      </c>
      <c r="B109" s="3" t="s">
        <v>172</v>
      </c>
      <c r="C109" s="3" t="s">
        <v>12</v>
      </c>
      <c r="D109" s="3" t="s">
        <v>13</v>
      </c>
      <c r="E109" s="13">
        <v>40.25</v>
      </c>
      <c r="F109" s="3">
        <v>1448607</v>
      </c>
      <c r="G109" s="3" t="s">
        <v>173</v>
      </c>
      <c r="H109" s="3">
        <v>0</v>
      </c>
      <c r="I109" s="3">
        <v>0.6211180124223602</v>
      </c>
      <c r="J109" s="3">
        <v>0.6211180124223602</v>
      </c>
    </row>
    <row r="110" spans="1:15" x14ac:dyDescent="0.2">
      <c r="A110" t="s">
        <v>174</v>
      </c>
      <c r="B110" t="s">
        <v>175</v>
      </c>
      <c r="C110" t="s">
        <v>12</v>
      </c>
      <c r="D110" t="s">
        <v>13</v>
      </c>
      <c r="E110" s="4">
        <v>40.25</v>
      </c>
      <c r="F110">
        <v>1300950</v>
      </c>
      <c r="G110" t="s">
        <v>176</v>
      </c>
      <c r="H110" s="4">
        <v>0.6211180124223602</v>
      </c>
      <c r="I110" s="4">
        <v>0.6211180124223602</v>
      </c>
      <c r="J110" s="4">
        <v>1.24223602484472</v>
      </c>
      <c r="L110" s="9"/>
      <c r="M110" s="6"/>
      <c r="N110" s="9"/>
      <c r="O110" s="10" t="e">
        <f>((M111-M110)/M110)</f>
        <v>#DIV/0!</v>
      </c>
    </row>
    <row r="111" spans="1:15" x14ac:dyDescent="0.2">
      <c r="A111" t="s">
        <v>174</v>
      </c>
      <c r="B111" t="s">
        <v>175</v>
      </c>
      <c r="C111" t="s">
        <v>12</v>
      </c>
      <c r="D111" t="s">
        <v>15</v>
      </c>
      <c r="E111">
        <v>40.25</v>
      </c>
      <c r="F111">
        <v>1300950</v>
      </c>
      <c r="G111" t="s">
        <v>16</v>
      </c>
      <c r="H111">
        <v>0.6211180124223602</v>
      </c>
      <c r="I111">
        <v>0.6211180124223602</v>
      </c>
      <c r="J111">
        <v>1.24223602484472</v>
      </c>
      <c r="L111" s="9"/>
      <c r="M111" s="6"/>
      <c r="N111" s="9"/>
    </row>
    <row r="112" spans="1:15" x14ac:dyDescent="0.2">
      <c r="A112" t="s">
        <v>174</v>
      </c>
      <c r="B112" t="s">
        <v>177</v>
      </c>
      <c r="C112" t="s">
        <v>12</v>
      </c>
      <c r="D112" t="s">
        <v>13</v>
      </c>
      <c r="E112" s="4">
        <v>40.5</v>
      </c>
      <c r="F112">
        <v>1470948</v>
      </c>
      <c r="G112" t="s">
        <v>178</v>
      </c>
      <c r="H112">
        <v>0</v>
      </c>
      <c r="I112">
        <v>0</v>
      </c>
      <c r="J112">
        <v>0.61728395061728392</v>
      </c>
    </row>
    <row r="113" spans="1:10" x14ac:dyDescent="0.2">
      <c r="A113" t="s">
        <v>174</v>
      </c>
      <c r="B113" t="s">
        <v>179</v>
      </c>
      <c r="C113" t="s">
        <v>12</v>
      </c>
      <c r="D113" t="s">
        <v>13</v>
      </c>
      <c r="E113">
        <v>40.75</v>
      </c>
      <c r="F113">
        <v>1739787</v>
      </c>
      <c r="G113" t="s">
        <v>180</v>
      </c>
      <c r="H113">
        <v>0.61349693251533743</v>
      </c>
      <c r="I113">
        <v>0</v>
      </c>
      <c r="J113">
        <v>0.61349693251533743</v>
      </c>
    </row>
    <row r="114" spans="1:10" x14ac:dyDescent="0.2">
      <c r="A114" t="s">
        <v>174</v>
      </c>
      <c r="B114" t="s">
        <v>179</v>
      </c>
      <c r="C114" t="s">
        <v>12</v>
      </c>
      <c r="D114" t="s">
        <v>15</v>
      </c>
      <c r="E114" s="4">
        <v>40.75</v>
      </c>
      <c r="F114">
        <v>1739787</v>
      </c>
      <c r="G114" t="s">
        <v>16</v>
      </c>
      <c r="H114">
        <v>0.61349693251533743</v>
      </c>
      <c r="I114">
        <v>0</v>
      </c>
      <c r="J114">
        <v>0.61349693251533743</v>
      </c>
    </row>
    <row r="115" spans="1:10" x14ac:dyDescent="0.2">
      <c r="A115" t="s">
        <v>174</v>
      </c>
      <c r="B115" t="s">
        <v>181</v>
      </c>
      <c r="C115" t="s">
        <v>12</v>
      </c>
      <c r="D115" t="s">
        <v>13</v>
      </c>
      <c r="E115">
        <v>40.75</v>
      </c>
      <c r="F115">
        <v>2517679</v>
      </c>
      <c r="G115" t="s">
        <v>182</v>
      </c>
      <c r="H115">
        <v>0.61349693251533743</v>
      </c>
      <c r="I115">
        <v>0</v>
      </c>
      <c r="J115">
        <v>0.61349693251533743</v>
      </c>
    </row>
    <row r="116" spans="1:10" x14ac:dyDescent="0.2">
      <c r="A116" t="s">
        <v>174</v>
      </c>
      <c r="B116" t="s">
        <v>181</v>
      </c>
      <c r="C116" t="s">
        <v>12</v>
      </c>
      <c r="D116" t="s">
        <v>15</v>
      </c>
      <c r="E116">
        <v>40.75</v>
      </c>
      <c r="F116">
        <v>2517679</v>
      </c>
      <c r="G116" t="s">
        <v>16</v>
      </c>
      <c r="H116">
        <v>0.61349693251533743</v>
      </c>
      <c r="I116">
        <v>0</v>
      </c>
      <c r="J116">
        <v>0.61349693251533743</v>
      </c>
    </row>
    <row r="117" spans="1:10" x14ac:dyDescent="0.2">
      <c r="A117" t="s">
        <v>174</v>
      </c>
      <c r="B117" t="s">
        <v>183</v>
      </c>
      <c r="C117" t="s">
        <v>12</v>
      </c>
      <c r="D117" t="s">
        <v>13</v>
      </c>
      <c r="E117" s="5">
        <v>40.75</v>
      </c>
      <c r="F117">
        <v>1227402</v>
      </c>
      <c r="G117" t="s">
        <v>184</v>
      </c>
      <c r="H117">
        <v>0</v>
      </c>
      <c r="I117">
        <v>0</v>
      </c>
      <c r="J117">
        <v>-0.61349693251533743</v>
      </c>
    </row>
    <row r="118" spans="1:10" x14ac:dyDescent="0.2">
      <c r="A118" t="s">
        <v>174</v>
      </c>
      <c r="B118" t="s">
        <v>183</v>
      </c>
      <c r="C118" t="s">
        <v>12</v>
      </c>
      <c r="D118" t="s">
        <v>15</v>
      </c>
      <c r="E118">
        <v>40.75</v>
      </c>
      <c r="F118">
        <v>1227402</v>
      </c>
      <c r="G118" t="s">
        <v>16</v>
      </c>
      <c r="H118">
        <v>0</v>
      </c>
      <c r="I118">
        <v>0</v>
      </c>
      <c r="J118">
        <v>-0.61349693251533743</v>
      </c>
    </row>
    <row r="119" spans="1:10" x14ac:dyDescent="0.2">
      <c r="A119" t="s">
        <v>174</v>
      </c>
      <c r="B119" t="s">
        <v>185</v>
      </c>
      <c r="C119" t="s">
        <v>12</v>
      </c>
      <c r="D119" t="s">
        <v>13</v>
      </c>
      <c r="E119" s="7">
        <v>40.5</v>
      </c>
      <c r="F119">
        <v>1153012</v>
      </c>
      <c r="G119" t="s">
        <v>186</v>
      </c>
      <c r="H119" s="4">
        <v>0.61728395061728392</v>
      </c>
      <c r="I119" s="4">
        <v>0.61728395061728392</v>
      </c>
      <c r="J119">
        <v>-0.61728395061728392</v>
      </c>
    </row>
    <row r="120" spans="1:10" x14ac:dyDescent="0.2">
      <c r="A120" t="s">
        <v>174</v>
      </c>
      <c r="B120" t="s">
        <v>187</v>
      </c>
      <c r="C120" t="s">
        <v>12</v>
      </c>
      <c r="D120" t="s">
        <v>13</v>
      </c>
      <c r="E120">
        <v>40.25</v>
      </c>
      <c r="F120">
        <v>1406234</v>
      </c>
      <c r="G120" t="s">
        <v>188</v>
      </c>
      <c r="H120">
        <v>-0.6211180124223602</v>
      </c>
      <c r="I120">
        <v>0</v>
      </c>
      <c r="J120">
        <v>0</v>
      </c>
    </row>
    <row r="121" spans="1:10" x14ac:dyDescent="0.2">
      <c r="A121" t="s">
        <v>174</v>
      </c>
      <c r="B121" t="s">
        <v>189</v>
      </c>
      <c r="C121" t="s">
        <v>12</v>
      </c>
      <c r="D121" t="s">
        <v>13</v>
      </c>
      <c r="E121">
        <v>40.25</v>
      </c>
      <c r="F121">
        <v>1370181</v>
      </c>
      <c r="G121" t="s">
        <v>190</v>
      </c>
      <c r="H121">
        <v>-0.6211180124223602</v>
      </c>
      <c r="I121">
        <v>0</v>
      </c>
      <c r="J121">
        <v>0</v>
      </c>
    </row>
    <row r="122" spans="1:10" x14ac:dyDescent="0.2">
      <c r="A122" t="s">
        <v>174</v>
      </c>
      <c r="B122" t="s">
        <v>189</v>
      </c>
      <c r="C122" t="s">
        <v>12</v>
      </c>
      <c r="D122" t="s">
        <v>15</v>
      </c>
      <c r="E122">
        <v>40.25</v>
      </c>
      <c r="F122">
        <v>1370181</v>
      </c>
      <c r="G122" t="s">
        <v>16</v>
      </c>
      <c r="H122">
        <v>-0.6211180124223602</v>
      </c>
      <c r="I122">
        <v>0</v>
      </c>
      <c r="J122">
        <v>0</v>
      </c>
    </row>
    <row r="123" spans="1:10" x14ac:dyDescent="0.2">
      <c r="A123" t="s">
        <v>174</v>
      </c>
      <c r="B123" t="s">
        <v>191</v>
      </c>
      <c r="C123" t="s">
        <v>12</v>
      </c>
      <c r="D123" t="s">
        <v>13</v>
      </c>
      <c r="E123">
        <v>40.25</v>
      </c>
      <c r="F123">
        <v>1302851</v>
      </c>
      <c r="G123" t="s">
        <v>192</v>
      </c>
      <c r="H123">
        <v>0</v>
      </c>
      <c r="I123">
        <v>0</v>
      </c>
      <c r="J123">
        <v>-0.6211180124223602</v>
      </c>
    </row>
    <row r="124" spans="1:10" x14ac:dyDescent="0.2">
      <c r="A124" s="3" t="s">
        <v>174</v>
      </c>
      <c r="B124" s="3" t="s">
        <v>191</v>
      </c>
      <c r="C124" s="3" t="s">
        <v>12</v>
      </c>
      <c r="D124" s="3" t="s">
        <v>15</v>
      </c>
      <c r="E124" s="3">
        <v>40.25</v>
      </c>
      <c r="F124" s="3">
        <v>1302851</v>
      </c>
      <c r="G124" s="3" t="s">
        <v>16</v>
      </c>
      <c r="H124" s="3">
        <v>0</v>
      </c>
      <c r="I124" s="3">
        <v>0</v>
      </c>
      <c r="J124" s="3">
        <v>-0.6211180124223602</v>
      </c>
    </row>
    <row r="125" spans="1:10" x14ac:dyDescent="0.2">
      <c r="A125" t="s">
        <v>193</v>
      </c>
      <c r="B125" t="s">
        <v>194</v>
      </c>
      <c r="C125" t="s">
        <v>12</v>
      </c>
      <c r="D125" t="s">
        <v>13</v>
      </c>
      <c r="E125">
        <v>40</v>
      </c>
      <c r="F125">
        <v>1692033</v>
      </c>
      <c r="G125" t="s">
        <v>195</v>
      </c>
      <c r="H125">
        <v>0.625</v>
      </c>
      <c r="I125">
        <v>0.625</v>
      </c>
      <c r="J125">
        <v>0</v>
      </c>
    </row>
    <row r="126" spans="1:10" x14ac:dyDescent="0.2">
      <c r="A126" t="s">
        <v>193</v>
      </c>
      <c r="B126" t="s">
        <v>196</v>
      </c>
      <c r="C126" t="s">
        <v>12</v>
      </c>
      <c r="D126" t="s">
        <v>13</v>
      </c>
      <c r="E126">
        <v>40.25</v>
      </c>
      <c r="F126">
        <v>1492480</v>
      </c>
      <c r="G126" t="s">
        <v>197</v>
      </c>
      <c r="H126">
        <v>0</v>
      </c>
      <c r="I126">
        <v>0.6211180124223602</v>
      </c>
      <c r="J126">
        <v>0</v>
      </c>
    </row>
    <row r="127" spans="1:10" x14ac:dyDescent="0.2">
      <c r="A127" t="s">
        <v>193</v>
      </c>
      <c r="B127" t="s">
        <v>196</v>
      </c>
      <c r="C127" t="s">
        <v>12</v>
      </c>
      <c r="D127" t="s">
        <v>15</v>
      </c>
      <c r="E127">
        <v>40.25</v>
      </c>
      <c r="F127">
        <v>1492480</v>
      </c>
      <c r="G127" t="s">
        <v>16</v>
      </c>
      <c r="H127">
        <v>0</v>
      </c>
      <c r="I127">
        <v>0.6211180124223602</v>
      </c>
      <c r="J127">
        <v>0</v>
      </c>
    </row>
    <row r="128" spans="1:10" x14ac:dyDescent="0.2">
      <c r="A128" t="s">
        <v>193</v>
      </c>
      <c r="B128" t="s">
        <v>198</v>
      </c>
      <c r="C128" t="s">
        <v>12</v>
      </c>
      <c r="D128" t="s">
        <v>13</v>
      </c>
      <c r="E128">
        <v>40</v>
      </c>
      <c r="F128">
        <v>462002</v>
      </c>
      <c r="G128" t="s">
        <v>199</v>
      </c>
      <c r="H128">
        <v>-0.625</v>
      </c>
      <c r="I128">
        <v>-1.25</v>
      </c>
      <c r="J128">
        <v>-1.25</v>
      </c>
    </row>
    <row r="129" spans="1:15" x14ac:dyDescent="0.2">
      <c r="A129" t="s">
        <v>193</v>
      </c>
      <c r="B129" t="s">
        <v>200</v>
      </c>
      <c r="C129" t="s">
        <v>12</v>
      </c>
      <c r="D129" t="s">
        <v>13</v>
      </c>
      <c r="E129">
        <v>40</v>
      </c>
      <c r="F129">
        <v>4566258</v>
      </c>
      <c r="G129" t="s">
        <v>201</v>
      </c>
      <c r="H129">
        <v>-1.25</v>
      </c>
      <c r="I129">
        <v>-1.25</v>
      </c>
      <c r="J129">
        <v>-0.625</v>
      </c>
    </row>
    <row r="130" spans="1:15" x14ac:dyDescent="0.2">
      <c r="A130" t="s">
        <v>193</v>
      </c>
      <c r="B130" t="s">
        <v>200</v>
      </c>
      <c r="C130" t="s">
        <v>12</v>
      </c>
      <c r="D130" t="s">
        <v>15</v>
      </c>
      <c r="E130">
        <v>40</v>
      </c>
      <c r="F130">
        <v>4566258</v>
      </c>
      <c r="G130" t="s">
        <v>16</v>
      </c>
      <c r="H130">
        <v>-1.25</v>
      </c>
      <c r="I130">
        <v>-1.25</v>
      </c>
      <c r="J130">
        <v>-0.625</v>
      </c>
    </row>
    <row r="131" spans="1:15" x14ac:dyDescent="0.2">
      <c r="A131" s="3" t="s">
        <v>193</v>
      </c>
      <c r="B131" s="3" t="s">
        <v>202</v>
      </c>
      <c r="C131" s="3" t="s">
        <v>12</v>
      </c>
      <c r="D131" s="3" t="s">
        <v>13</v>
      </c>
      <c r="E131" s="11">
        <v>39.5</v>
      </c>
      <c r="F131" s="3">
        <v>286603</v>
      </c>
      <c r="G131" s="3" t="s">
        <v>203</v>
      </c>
      <c r="H131" s="11">
        <v>1.2658227848101271</v>
      </c>
      <c r="I131" s="11">
        <v>1.89873417721519</v>
      </c>
      <c r="J131" s="11">
        <v>1.89873417721519</v>
      </c>
      <c r="L131" s="9"/>
      <c r="M131" s="6"/>
      <c r="N131" s="9"/>
      <c r="O131" s="10" t="e">
        <f>((M132-M131)/M131)</f>
        <v>#DIV/0!</v>
      </c>
    </row>
    <row r="132" spans="1:15" x14ac:dyDescent="0.2">
      <c r="A132" t="s">
        <v>204</v>
      </c>
      <c r="B132" t="s">
        <v>205</v>
      </c>
      <c r="C132" t="s">
        <v>12</v>
      </c>
      <c r="D132" t="s">
        <v>35</v>
      </c>
      <c r="E132" s="4">
        <v>40</v>
      </c>
      <c r="F132">
        <v>0</v>
      </c>
      <c r="G132" t="s">
        <v>152</v>
      </c>
      <c r="H132">
        <v>0</v>
      </c>
      <c r="I132">
        <v>0.625</v>
      </c>
      <c r="J132">
        <v>0.625</v>
      </c>
      <c r="L132" s="9"/>
      <c r="M132" s="6"/>
      <c r="N132" s="9"/>
    </row>
    <row r="133" spans="1:15" x14ac:dyDescent="0.2">
      <c r="A133" t="s">
        <v>204</v>
      </c>
      <c r="B133" t="s">
        <v>206</v>
      </c>
      <c r="C133" t="s">
        <v>12</v>
      </c>
      <c r="D133" t="s">
        <v>13</v>
      </c>
      <c r="E133" s="4">
        <v>39.5</v>
      </c>
      <c r="F133">
        <v>910242</v>
      </c>
      <c r="G133" t="s">
        <v>207</v>
      </c>
      <c r="H133">
        <v>1.89873417721519</v>
      </c>
      <c r="I133">
        <v>1.89873417721519</v>
      </c>
      <c r="J133">
        <v>1.2658227848101271</v>
      </c>
    </row>
    <row r="134" spans="1:15" x14ac:dyDescent="0.2">
      <c r="A134" t="s">
        <v>204</v>
      </c>
      <c r="B134" t="s">
        <v>208</v>
      </c>
      <c r="C134" t="s">
        <v>12</v>
      </c>
      <c r="D134" t="s">
        <v>13</v>
      </c>
      <c r="E134" s="4">
        <v>40</v>
      </c>
      <c r="F134">
        <v>1451804</v>
      </c>
      <c r="G134" t="s">
        <v>209</v>
      </c>
      <c r="H134">
        <v>0.625</v>
      </c>
      <c r="I134">
        <v>0.625</v>
      </c>
      <c r="J134">
        <v>0</v>
      </c>
    </row>
    <row r="135" spans="1:15" x14ac:dyDescent="0.2">
      <c r="A135" t="s">
        <v>204</v>
      </c>
      <c r="B135" t="s">
        <v>210</v>
      </c>
      <c r="C135" t="s">
        <v>12</v>
      </c>
      <c r="D135" t="s">
        <v>13</v>
      </c>
      <c r="E135" s="5">
        <v>40.25</v>
      </c>
      <c r="F135">
        <v>969331</v>
      </c>
      <c r="G135" t="s">
        <v>211</v>
      </c>
      <c r="H135">
        <v>0</v>
      </c>
      <c r="I135">
        <v>-0.6211180124223602</v>
      </c>
      <c r="J135">
        <v>0</v>
      </c>
    </row>
    <row r="136" spans="1:15" x14ac:dyDescent="0.2">
      <c r="A136" t="s">
        <v>204</v>
      </c>
      <c r="B136" t="s">
        <v>212</v>
      </c>
      <c r="C136" t="s">
        <v>12</v>
      </c>
      <c r="D136" t="s">
        <v>13</v>
      </c>
      <c r="E136">
        <v>40.25</v>
      </c>
      <c r="F136">
        <v>1704100</v>
      </c>
      <c r="G136" t="s">
        <v>213</v>
      </c>
      <c r="H136">
        <v>0</v>
      </c>
      <c r="I136">
        <v>0</v>
      </c>
      <c r="J136">
        <v>0.6211180124223602</v>
      </c>
    </row>
    <row r="137" spans="1:15" x14ac:dyDescent="0.2">
      <c r="A137" t="s">
        <v>204</v>
      </c>
      <c r="B137" t="s">
        <v>212</v>
      </c>
      <c r="C137" t="s">
        <v>12</v>
      </c>
      <c r="D137" t="s">
        <v>15</v>
      </c>
      <c r="E137" s="4">
        <v>40.25</v>
      </c>
      <c r="F137">
        <v>1704100</v>
      </c>
      <c r="G137" t="s">
        <v>16</v>
      </c>
      <c r="H137">
        <v>0</v>
      </c>
      <c r="I137">
        <v>0</v>
      </c>
      <c r="J137">
        <v>0.6211180124223602</v>
      </c>
    </row>
    <row r="138" spans="1:15" x14ac:dyDescent="0.2">
      <c r="A138" t="s">
        <v>204</v>
      </c>
      <c r="B138" t="s">
        <v>214</v>
      </c>
      <c r="C138" t="s">
        <v>12</v>
      </c>
      <c r="D138" t="s">
        <v>13</v>
      </c>
      <c r="E138">
        <v>40.5</v>
      </c>
      <c r="F138">
        <v>4420355</v>
      </c>
      <c r="G138" t="s">
        <v>215</v>
      </c>
      <c r="H138">
        <v>0</v>
      </c>
      <c r="I138">
        <v>-0.61728395061728392</v>
      </c>
      <c r="J138">
        <v>0</v>
      </c>
    </row>
    <row r="139" spans="1:15" x14ac:dyDescent="0.2">
      <c r="A139" t="s">
        <v>204</v>
      </c>
      <c r="B139" t="s">
        <v>214</v>
      </c>
      <c r="C139" t="s">
        <v>12</v>
      </c>
      <c r="D139" t="s">
        <v>35</v>
      </c>
      <c r="E139" s="5">
        <v>40.5</v>
      </c>
      <c r="F139">
        <v>4420355</v>
      </c>
      <c r="G139" t="s">
        <v>152</v>
      </c>
      <c r="H139">
        <v>0</v>
      </c>
      <c r="I139">
        <v>-0.61728395061728392</v>
      </c>
      <c r="J139">
        <v>0</v>
      </c>
    </row>
    <row r="140" spans="1:15" x14ac:dyDescent="0.2">
      <c r="A140" t="s">
        <v>204</v>
      </c>
      <c r="B140" t="s">
        <v>216</v>
      </c>
      <c r="C140" t="s">
        <v>12</v>
      </c>
      <c r="D140" t="s">
        <v>13</v>
      </c>
      <c r="E140">
        <v>40.25</v>
      </c>
      <c r="F140">
        <v>3647249</v>
      </c>
      <c r="G140" t="s">
        <v>217</v>
      </c>
      <c r="H140">
        <v>0.6211180124223602</v>
      </c>
      <c r="I140">
        <v>0.6211180124223602</v>
      </c>
      <c r="J140">
        <v>0</v>
      </c>
    </row>
    <row r="141" spans="1:15" x14ac:dyDescent="0.2">
      <c r="A141" t="s">
        <v>204</v>
      </c>
      <c r="B141" t="s">
        <v>216</v>
      </c>
      <c r="C141" t="s">
        <v>12</v>
      </c>
      <c r="D141" t="s">
        <v>35</v>
      </c>
      <c r="E141" s="4">
        <v>40.25</v>
      </c>
      <c r="F141">
        <v>3647249</v>
      </c>
      <c r="G141" t="s">
        <v>91</v>
      </c>
      <c r="H141">
        <v>0.6211180124223602</v>
      </c>
      <c r="I141">
        <v>0.6211180124223602</v>
      </c>
      <c r="J141">
        <v>0</v>
      </c>
    </row>
    <row r="142" spans="1:15" x14ac:dyDescent="0.2">
      <c r="A142" t="s">
        <v>204</v>
      </c>
      <c r="B142" t="s">
        <v>218</v>
      </c>
      <c r="C142" t="s">
        <v>12</v>
      </c>
      <c r="D142" t="s">
        <v>13</v>
      </c>
      <c r="E142">
        <v>40.5</v>
      </c>
      <c r="F142">
        <v>2940625</v>
      </c>
      <c r="G142" t="s">
        <v>219</v>
      </c>
      <c r="H142">
        <v>-0.61728395061728392</v>
      </c>
      <c r="I142">
        <v>-0.61728395061728392</v>
      </c>
      <c r="J142">
        <v>-0.61728395061728392</v>
      </c>
    </row>
    <row r="143" spans="1:15" x14ac:dyDescent="0.2">
      <c r="A143" t="s">
        <v>204</v>
      </c>
      <c r="B143" t="s">
        <v>218</v>
      </c>
      <c r="C143" t="s">
        <v>12</v>
      </c>
      <c r="D143" t="s">
        <v>15</v>
      </c>
      <c r="E143" s="5">
        <v>40.5</v>
      </c>
      <c r="F143">
        <v>2940625</v>
      </c>
      <c r="G143" t="s">
        <v>16</v>
      </c>
      <c r="H143">
        <v>-0.61728395061728392</v>
      </c>
      <c r="I143">
        <v>-0.61728395061728392</v>
      </c>
      <c r="J143">
        <v>-0.61728395061728392</v>
      </c>
    </row>
    <row r="144" spans="1:15" x14ac:dyDescent="0.2">
      <c r="A144" s="3" t="s">
        <v>204</v>
      </c>
      <c r="B144" s="3" t="s">
        <v>220</v>
      </c>
      <c r="C144" s="3" t="s">
        <v>12</v>
      </c>
      <c r="D144" s="3" t="s">
        <v>13</v>
      </c>
      <c r="E144" s="12">
        <v>40.25</v>
      </c>
      <c r="F144" s="3">
        <v>875389</v>
      </c>
      <c r="G144" s="3" t="s">
        <v>221</v>
      </c>
      <c r="H144" s="3">
        <v>-2.4844720496894408</v>
      </c>
      <c r="I144" s="3">
        <v>-1.8633540372670809</v>
      </c>
      <c r="J144" s="3">
        <v>-3.1055900621118009</v>
      </c>
    </row>
    <row r="145" spans="1:15" x14ac:dyDescent="0.2">
      <c r="A145" t="s">
        <v>222</v>
      </c>
      <c r="B145" t="s">
        <v>223</v>
      </c>
      <c r="C145" t="s">
        <v>12</v>
      </c>
      <c r="D145" t="s">
        <v>35</v>
      </c>
      <c r="E145">
        <v>39.25</v>
      </c>
      <c r="F145">
        <v>0</v>
      </c>
      <c r="G145" t="s">
        <v>224</v>
      </c>
      <c r="H145">
        <v>0</v>
      </c>
      <c r="I145">
        <v>0</v>
      </c>
      <c r="J145">
        <v>-1.2738853503184711</v>
      </c>
    </row>
    <row r="146" spans="1:15" x14ac:dyDescent="0.2">
      <c r="A146" t="s">
        <v>222</v>
      </c>
      <c r="B146" t="s">
        <v>225</v>
      </c>
      <c r="C146" t="s">
        <v>12</v>
      </c>
      <c r="D146" t="s">
        <v>13</v>
      </c>
      <c r="E146">
        <v>39.25</v>
      </c>
      <c r="F146">
        <v>3320118</v>
      </c>
      <c r="G146" t="s">
        <v>226</v>
      </c>
      <c r="H146">
        <v>0.63694267515923575</v>
      </c>
      <c r="I146">
        <v>-1.2738853503184711</v>
      </c>
      <c r="J146">
        <v>-0.63694267515923575</v>
      </c>
    </row>
    <row r="147" spans="1:15" x14ac:dyDescent="0.2">
      <c r="A147" t="s">
        <v>222</v>
      </c>
      <c r="B147" t="s">
        <v>225</v>
      </c>
      <c r="C147" t="s">
        <v>12</v>
      </c>
      <c r="D147" t="s">
        <v>15</v>
      </c>
      <c r="E147">
        <v>39.25</v>
      </c>
      <c r="F147">
        <v>3320118</v>
      </c>
      <c r="G147" t="s">
        <v>16</v>
      </c>
      <c r="H147">
        <v>0.63694267515923575</v>
      </c>
      <c r="I147">
        <v>-1.2738853503184711</v>
      </c>
      <c r="J147">
        <v>-0.63694267515923575</v>
      </c>
    </row>
    <row r="148" spans="1:15" x14ac:dyDescent="0.2">
      <c r="A148" t="s">
        <v>222</v>
      </c>
      <c r="B148" t="s">
        <v>227</v>
      </c>
      <c r="C148" t="s">
        <v>12</v>
      </c>
      <c r="D148" t="s">
        <v>13</v>
      </c>
      <c r="E148">
        <v>39.5</v>
      </c>
      <c r="F148">
        <v>2607411</v>
      </c>
      <c r="G148" t="s">
        <v>228</v>
      </c>
      <c r="H148">
        <v>-3.164556962025316</v>
      </c>
      <c r="I148">
        <v>-1.2658227848101271</v>
      </c>
      <c r="J148">
        <v>-1.89873417721519</v>
      </c>
    </row>
    <row r="149" spans="1:15" x14ac:dyDescent="0.2">
      <c r="A149" t="s">
        <v>222</v>
      </c>
      <c r="B149" t="s">
        <v>227</v>
      </c>
      <c r="C149" t="s">
        <v>12</v>
      </c>
      <c r="D149" t="s">
        <v>15</v>
      </c>
      <c r="E149">
        <v>39.5</v>
      </c>
      <c r="F149">
        <v>2607411</v>
      </c>
      <c r="G149" t="s">
        <v>16</v>
      </c>
      <c r="H149">
        <v>-3.164556962025316</v>
      </c>
      <c r="I149">
        <v>-1.2658227848101271</v>
      </c>
      <c r="J149">
        <v>-1.89873417721519</v>
      </c>
    </row>
    <row r="150" spans="1:15" x14ac:dyDescent="0.2">
      <c r="A150" t="s">
        <v>222</v>
      </c>
      <c r="B150" t="s">
        <v>229</v>
      </c>
      <c r="C150" t="s">
        <v>12</v>
      </c>
      <c r="D150" t="s">
        <v>13</v>
      </c>
      <c r="E150">
        <v>38.75</v>
      </c>
      <c r="F150">
        <v>7414381</v>
      </c>
      <c r="G150" t="s">
        <v>230</v>
      </c>
      <c r="H150">
        <v>-0.64516129032258063</v>
      </c>
      <c r="I150">
        <v>0.64516129032258063</v>
      </c>
      <c r="J150">
        <v>0.64516129032258063</v>
      </c>
    </row>
    <row r="151" spans="1:15" x14ac:dyDescent="0.2">
      <c r="A151" t="s">
        <v>222</v>
      </c>
      <c r="B151" t="s">
        <v>229</v>
      </c>
      <c r="C151" t="s">
        <v>12</v>
      </c>
      <c r="D151" t="s">
        <v>35</v>
      </c>
      <c r="E151">
        <v>38.75</v>
      </c>
      <c r="F151">
        <v>7414381</v>
      </c>
      <c r="G151" t="s">
        <v>50</v>
      </c>
      <c r="H151">
        <v>-0.64516129032258063</v>
      </c>
      <c r="I151">
        <v>0.64516129032258063</v>
      </c>
      <c r="J151">
        <v>0.64516129032258063</v>
      </c>
    </row>
    <row r="152" spans="1:15" x14ac:dyDescent="0.2">
      <c r="A152" t="s">
        <v>222</v>
      </c>
      <c r="B152" t="s">
        <v>231</v>
      </c>
      <c r="C152" t="s">
        <v>12</v>
      </c>
      <c r="D152" t="s">
        <v>13</v>
      </c>
      <c r="E152" s="4">
        <v>38.25</v>
      </c>
      <c r="F152">
        <v>4935081</v>
      </c>
      <c r="G152" t="s">
        <v>232</v>
      </c>
      <c r="H152" s="4">
        <v>1.9607843137254899</v>
      </c>
      <c r="I152" s="4">
        <v>1.9607843137254899</v>
      </c>
      <c r="J152" s="4">
        <v>1.9607843137254899</v>
      </c>
      <c r="L152" s="9"/>
      <c r="M152" s="6"/>
      <c r="N152" s="9"/>
      <c r="O152" s="10" t="e">
        <f>((M153-M152)/M152)</f>
        <v>#DIV/0!</v>
      </c>
    </row>
    <row r="153" spans="1:15" x14ac:dyDescent="0.2">
      <c r="A153" t="s">
        <v>222</v>
      </c>
      <c r="B153" t="s">
        <v>233</v>
      </c>
      <c r="C153" t="s">
        <v>12</v>
      </c>
      <c r="D153" t="s">
        <v>13</v>
      </c>
      <c r="E153" s="5">
        <v>39</v>
      </c>
      <c r="F153">
        <v>4872403</v>
      </c>
      <c r="G153" t="s">
        <v>234</v>
      </c>
      <c r="H153">
        <v>0</v>
      </c>
      <c r="I153">
        <v>-0.64102564102564097</v>
      </c>
      <c r="J153">
        <v>-0.64102564102564097</v>
      </c>
      <c r="L153" s="9"/>
      <c r="M153" s="6"/>
      <c r="N153" s="9"/>
    </row>
    <row r="154" spans="1:15" x14ac:dyDescent="0.2">
      <c r="A154" t="s">
        <v>222</v>
      </c>
      <c r="B154" t="s">
        <v>235</v>
      </c>
      <c r="C154" t="s">
        <v>12</v>
      </c>
      <c r="D154" t="s">
        <v>13</v>
      </c>
      <c r="E154">
        <v>38.75</v>
      </c>
      <c r="F154">
        <v>4228599</v>
      </c>
      <c r="G154" t="s">
        <v>236</v>
      </c>
      <c r="H154">
        <v>0</v>
      </c>
      <c r="I154">
        <v>0</v>
      </c>
      <c r="J154">
        <v>-0.64516129032258063</v>
      </c>
    </row>
    <row r="155" spans="1:15" x14ac:dyDescent="0.2">
      <c r="A155" s="3" t="s">
        <v>222</v>
      </c>
      <c r="B155" s="3" t="s">
        <v>235</v>
      </c>
      <c r="C155" s="3" t="s">
        <v>12</v>
      </c>
      <c r="D155" s="3" t="s">
        <v>35</v>
      </c>
      <c r="E155" s="12">
        <v>38.75</v>
      </c>
      <c r="F155" s="3">
        <v>4228599</v>
      </c>
      <c r="G155" s="3" t="s">
        <v>91</v>
      </c>
      <c r="H155" s="3">
        <v>0</v>
      </c>
      <c r="I155" s="3">
        <v>0</v>
      </c>
      <c r="J155" s="3">
        <v>-0.64516129032258063</v>
      </c>
    </row>
    <row r="156" spans="1:15" x14ac:dyDescent="0.2">
      <c r="A156" t="s">
        <v>237</v>
      </c>
      <c r="B156" t="s">
        <v>238</v>
      </c>
      <c r="C156" t="s">
        <v>12</v>
      </c>
      <c r="D156" t="s">
        <v>35</v>
      </c>
      <c r="E156" s="4">
        <v>39</v>
      </c>
      <c r="F156">
        <v>0</v>
      </c>
      <c r="G156" t="s">
        <v>239</v>
      </c>
      <c r="H156">
        <v>0.64102564102564097</v>
      </c>
      <c r="I156">
        <v>0.64102564102564097</v>
      </c>
      <c r="J156">
        <v>0.64102564102564097</v>
      </c>
    </row>
    <row r="157" spans="1:15" x14ac:dyDescent="0.2">
      <c r="A157" t="s">
        <v>237</v>
      </c>
      <c r="B157" t="s">
        <v>240</v>
      </c>
      <c r="C157" t="s">
        <v>12</v>
      </c>
      <c r="D157" t="s">
        <v>13</v>
      </c>
      <c r="E157" s="5">
        <v>39.25</v>
      </c>
      <c r="F157">
        <v>1570448</v>
      </c>
      <c r="G157" t="s">
        <v>241</v>
      </c>
      <c r="H157">
        <v>-0.63694267515923575</v>
      </c>
      <c r="I157">
        <v>-0.63694267515923575</v>
      </c>
      <c r="J157">
        <v>0</v>
      </c>
    </row>
    <row r="158" spans="1:15" x14ac:dyDescent="0.2">
      <c r="A158" t="s">
        <v>237</v>
      </c>
      <c r="B158" t="s">
        <v>242</v>
      </c>
      <c r="C158" t="s">
        <v>12</v>
      </c>
      <c r="D158" t="s">
        <v>13</v>
      </c>
      <c r="E158" s="4">
        <v>38.75</v>
      </c>
      <c r="F158">
        <v>936276</v>
      </c>
      <c r="G158" t="s">
        <v>243</v>
      </c>
      <c r="H158">
        <v>0.64516129032258063</v>
      </c>
      <c r="I158">
        <v>0.64516129032258063</v>
      </c>
      <c r="J158">
        <v>0</v>
      </c>
    </row>
    <row r="159" spans="1:15" x14ac:dyDescent="0.2">
      <c r="A159" t="s">
        <v>237</v>
      </c>
      <c r="B159" t="s">
        <v>244</v>
      </c>
      <c r="C159" t="s">
        <v>12</v>
      </c>
      <c r="D159" t="s">
        <v>13</v>
      </c>
      <c r="E159" s="5">
        <v>39</v>
      </c>
      <c r="F159">
        <v>2013799</v>
      </c>
      <c r="G159" t="s">
        <v>245</v>
      </c>
      <c r="H159">
        <v>0</v>
      </c>
      <c r="I159">
        <v>-0.64102564102564097</v>
      </c>
      <c r="J159">
        <v>-0.64102564102564097</v>
      </c>
    </row>
    <row r="160" spans="1:15" x14ac:dyDescent="0.2">
      <c r="A160" t="s">
        <v>237</v>
      </c>
      <c r="B160" t="s">
        <v>246</v>
      </c>
      <c r="C160" t="s">
        <v>12</v>
      </c>
      <c r="D160" t="s">
        <v>13</v>
      </c>
      <c r="E160">
        <v>38.75</v>
      </c>
      <c r="F160">
        <v>1608948</v>
      </c>
      <c r="G160" t="s">
        <v>247</v>
      </c>
      <c r="H160">
        <v>0</v>
      </c>
      <c r="I160">
        <v>0</v>
      </c>
      <c r="J160">
        <v>0</v>
      </c>
    </row>
    <row r="161" spans="1:15" x14ac:dyDescent="0.2">
      <c r="A161" t="s">
        <v>237</v>
      </c>
      <c r="B161" t="s">
        <v>246</v>
      </c>
      <c r="C161" t="s">
        <v>12</v>
      </c>
      <c r="D161" t="s">
        <v>15</v>
      </c>
      <c r="E161">
        <v>38.75</v>
      </c>
      <c r="F161">
        <v>1608948</v>
      </c>
      <c r="G161" t="s">
        <v>16</v>
      </c>
      <c r="H161">
        <v>0</v>
      </c>
      <c r="I161">
        <v>0</v>
      </c>
      <c r="J161">
        <v>0</v>
      </c>
    </row>
    <row r="162" spans="1:15" x14ac:dyDescent="0.2">
      <c r="A162" t="s">
        <v>237</v>
      </c>
      <c r="B162" t="s">
        <v>248</v>
      </c>
      <c r="C162" t="s">
        <v>12</v>
      </c>
      <c r="D162" t="s">
        <v>13</v>
      </c>
      <c r="E162">
        <v>39</v>
      </c>
      <c r="F162">
        <v>2196618</v>
      </c>
      <c r="G162" t="s">
        <v>249</v>
      </c>
      <c r="H162">
        <v>-0.64102564102564097</v>
      </c>
      <c r="I162">
        <v>0</v>
      </c>
      <c r="J162">
        <v>0</v>
      </c>
    </row>
    <row r="163" spans="1:15" x14ac:dyDescent="0.2">
      <c r="A163" t="s">
        <v>237</v>
      </c>
      <c r="B163" t="s">
        <v>250</v>
      </c>
      <c r="C163" t="s">
        <v>12</v>
      </c>
      <c r="D163" t="s">
        <v>13</v>
      </c>
      <c r="E163" s="5">
        <v>39</v>
      </c>
      <c r="F163">
        <v>964210</v>
      </c>
      <c r="G163" t="s">
        <v>251</v>
      </c>
      <c r="H163">
        <v>-0.64102564102564097</v>
      </c>
      <c r="I163">
        <v>-1.9230769230769229</v>
      </c>
      <c r="J163">
        <v>-1.9230769230769229</v>
      </c>
    </row>
    <row r="164" spans="1:15" x14ac:dyDescent="0.2">
      <c r="A164" s="3" t="s">
        <v>237</v>
      </c>
      <c r="B164" s="3" t="s">
        <v>250</v>
      </c>
      <c r="C164" s="3" t="s">
        <v>12</v>
      </c>
      <c r="D164" s="3" t="s">
        <v>15</v>
      </c>
      <c r="E164" s="3">
        <v>39</v>
      </c>
      <c r="F164" s="3">
        <v>964210</v>
      </c>
      <c r="G164" s="3" t="s">
        <v>16</v>
      </c>
      <c r="H164" s="3">
        <v>-0.64102564102564097</v>
      </c>
      <c r="I164" s="3">
        <v>-1.9230769230769229</v>
      </c>
      <c r="J164" s="3">
        <v>-1.9230769230769229</v>
      </c>
    </row>
    <row r="165" spans="1:15" x14ac:dyDescent="0.2">
      <c r="A165" t="s">
        <v>252</v>
      </c>
      <c r="B165" t="s">
        <v>253</v>
      </c>
      <c r="C165" t="s">
        <v>12</v>
      </c>
      <c r="D165" t="s">
        <v>13</v>
      </c>
      <c r="E165">
        <v>38.75</v>
      </c>
      <c r="F165">
        <v>1034322</v>
      </c>
      <c r="G165" t="s">
        <v>254</v>
      </c>
      <c r="H165">
        <v>-1.290322580645161</v>
      </c>
      <c r="I165">
        <v>-1.290322580645161</v>
      </c>
      <c r="J165">
        <v>-1.935483870967742</v>
      </c>
    </row>
    <row r="166" spans="1:15" x14ac:dyDescent="0.2">
      <c r="A166" t="s">
        <v>252</v>
      </c>
      <c r="B166" t="s">
        <v>253</v>
      </c>
      <c r="C166" t="s">
        <v>12</v>
      </c>
      <c r="D166" t="s">
        <v>15</v>
      </c>
      <c r="E166" s="5">
        <v>38.75</v>
      </c>
      <c r="F166">
        <v>1034322</v>
      </c>
      <c r="G166" t="s">
        <v>16</v>
      </c>
      <c r="H166">
        <v>-1.290322580645161</v>
      </c>
      <c r="I166">
        <v>-1.290322580645161</v>
      </c>
      <c r="J166">
        <v>-1.935483870967742</v>
      </c>
    </row>
    <row r="167" spans="1:15" x14ac:dyDescent="0.2">
      <c r="A167" t="s">
        <v>252</v>
      </c>
      <c r="B167" t="s">
        <v>255</v>
      </c>
      <c r="C167" t="s">
        <v>12</v>
      </c>
      <c r="D167" t="s">
        <v>13</v>
      </c>
      <c r="E167">
        <v>38.25</v>
      </c>
      <c r="F167">
        <v>1178340</v>
      </c>
      <c r="G167" t="s">
        <v>256</v>
      </c>
      <c r="H167">
        <v>0.65359477124183007</v>
      </c>
      <c r="I167">
        <v>0.65359477124183007</v>
      </c>
      <c r="J167">
        <v>-0.65359477124183007</v>
      </c>
    </row>
    <row r="168" spans="1:15" x14ac:dyDescent="0.2">
      <c r="A168" t="s">
        <v>252</v>
      </c>
      <c r="B168" t="s">
        <v>257</v>
      </c>
      <c r="C168" t="s">
        <v>12</v>
      </c>
      <c r="D168" t="s">
        <v>13</v>
      </c>
      <c r="E168" s="5">
        <v>38.25</v>
      </c>
      <c r="F168">
        <v>2716367</v>
      </c>
      <c r="G168" t="s">
        <v>258</v>
      </c>
      <c r="H168">
        <v>0</v>
      </c>
      <c r="I168">
        <v>0</v>
      </c>
      <c r="J168">
        <v>-0.65359477124183007</v>
      </c>
    </row>
    <row r="169" spans="1:15" x14ac:dyDescent="0.2">
      <c r="A169" t="s">
        <v>252</v>
      </c>
      <c r="B169" t="s">
        <v>257</v>
      </c>
      <c r="C169" t="s">
        <v>12</v>
      </c>
      <c r="D169" t="s">
        <v>15</v>
      </c>
      <c r="E169">
        <v>38.25</v>
      </c>
      <c r="F169">
        <v>2716367</v>
      </c>
      <c r="G169" t="s">
        <v>16</v>
      </c>
      <c r="H169">
        <v>0</v>
      </c>
      <c r="I169">
        <v>0</v>
      </c>
      <c r="J169">
        <v>-0.65359477124183007</v>
      </c>
    </row>
    <row r="170" spans="1:15" x14ac:dyDescent="0.2">
      <c r="A170" t="s">
        <v>252</v>
      </c>
      <c r="B170" t="s">
        <v>259</v>
      </c>
      <c r="C170" t="s">
        <v>12</v>
      </c>
      <c r="D170" t="s">
        <v>13</v>
      </c>
      <c r="E170" s="5">
        <v>38</v>
      </c>
      <c r="F170">
        <v>987404</v>
      </c>
      <c r="G170" t="s">
        <v>260</v>
      </c>
      <c r="H170">
        <v>-0.6578947368421052</v>
      </c>
      <c r="I170">
        <v>0</v>
      </c>
      <c r="J170">
        <v>-0.6578947368421052</v>
      </c>
    </row>
    <row r="171" spans="1:15" x14ac:dyDescent="0.2">
      <c r="A171" t="s">
        <v>252</v>
      </c>
      <c r="B171" t="s">
        <v>261</v>
      </c>
      <c r="C171" t="s">
        <v>12</v>
      </c>
      <c r="D171" t="s">
        <v>13</v>
      </c>
      <c r="E171">
        <v>37.75</v>
      </c>
      <c r="F171">
        <v>4437878</v>
      </c>
      <c r="G171" t="s">
        <v>262</v>
      </c>
      <c r="H171">
        <v>0.66225165562913912</v>
      </c>
      <c r="I171">
        <v>0</v>
      </c>
      <c r="J171">
        <v>0</v>
      </c>
    </row>
    <row r="172" spans="1:15" x14ac:dyDescent="0.2">
      <c r="A172" t="s">
        <v>252</v>
      </c>
      <c r="B172" t="s">
        <v>263</v>
      </c>
      <c r="C172" t="s">
        <v>12</v>
      </c>
      <c r="D172" t="s">
        <v>13</v>
      </c>
      <c r="E172">
        <v>37.75</v>
      </c>
      <c r="F172">
        <v>1390990</v>
      </c>
      <c r="G172" t="s">
        <v>264</v>
      </c>
      <c r="H172">
        <v>0</v>
      </c>
      <c r="I172">
        <v>0.66225165562913912</v>
      </c>
      <c r="J172">
        <v>0</v>
      </c>
    </row>
    <row r="173" spans="1:15" x14ac:dyDescent="0.2">
      <c r="A173" t="s">
        <v>252</v>
      </c>
      <c r="B173" t="s">
        <v>265</v>
      </c>
      <c r="C173" t="s">
        <v>12</v>
      </c>
      <c r="D173" t="s">
        <v>13</v>
      </c>
      <c r="E173" s="4">
        <v>37.75</v>
      </c>
      <c r="F173">
        <v>1787126</v>
      </c>
      <c r="G173" t="s">
        <v>266</v>
      </c>
      <c r="H173" s="4">
        <v>0</v>
      </c>
      <c r="I173" s="4">
        <v>0</v>
      </c>
      <c r="J173" s="4">
        <v>1.324503311258278</v>
      </c>
      <c r="L173" s="9"/>
      <c r="M173" s="6"/>
      <c r="N173" s="9"/>
      <c r="O173" s="10" t="e">
        <f>((M174-M173)/M173)</f>
        <v>#DIV/0!</v>
      </c>
    </row>
    <row r="174" spans="1:15" x14ac:dyDescent="0.2">
      <c r="A174" t="s">
        <v>252</v>
      </c>
      <c r="B174" t="s">
        <v>265</v>
      </c>
      <c r="C174" t="s">
        <v>12</v>
      </c>
      <c r="D174" t="s">
        <v>15</v>
      </c>
      <c r="E174">
        <v>37.75</v>
      </c>
      <c r="F174">
        <v>1787126</v>
      </c>
      <c r="G174" t="s">
        <v>16</v>
      </c>
      <c r="H174">
        <v>0</v>
      </c>
      <c r="I174">
        <v>0</v>
      </c>
      <c r="J174">
        <v>1.324503311258278</v>
      </c>
      <c r="L174" s="9"/>
      <c r="M174" s="6"/>
      <c r="N174" s="9"/>
    </row>
    <row r="175" spans="1:15" x14ac:dyDescent="0.2">
      <c r="A175" s="3" t="s">
        <v>252</v>
      </c>
      <c r="B175" s="3" t="s">
        <v>267</v>
      </c>
      <c r="C175" s="3" t="s">
        <v>12</v>
      </c>
      <c r="D175" s="3" t="s">
        <v>13</v>
      </c>
      <c r="E175" s="11">
        <v>37.5</v>
      </c>
      <c r="F175" s="3">
        <v>922251</v>
      </c>
      <c r="G175" s="3" t="s">
        <v>268</v>
      </c>
      <c r="H175" s="3">
        <v>2</v>
      </c>
      <c r="I175" s="3">
        <v>2</v>
      </c>
      <c r="J175" s="3">
        <v>2.666666666666667</v>
      </c>
    </row>
    <row r="176" spans="1:15" x14ac:dyDescent="0.2">
      <c r="A176" t="s">
        <v>269</v>
      </c>
      <c r="B176" t="s">
        <v>270</v>
      </c>
      <c r="C176" t="s">
        <v>12</v>
      </c>
      <c r="D176" t="s">
        <v>35</v>
      </c>
      <c r="E176">
        <v>38.25</v>
      </c>
      <c r="F176">
        <v>0</v>
      </c>
      <c r="G176" t="s">
        <v>143</v>
      </c>
      <c r="H176">
        <v>0</v>
      </c>
      <c r="I176">
        <v>0.65359477124183007</v>
      </c>
      <c r="J176">
        <v>0.65359477124183007</v>
      </c>
    </row>
    <row r="177" spans="1:10" x14ac:dyDescent="0.2">
      <c r="A177" t="s">
        <v>269</v>
      </c>
      <c r="B177" t="s">
        <v>271</v>
      </c>
      <c r="C177" t="s">
        <v>12</v>
      </c>
      <c r="D177" t="s">
        <v>13</v>
      </c>
      <c r="E177" s="4">
        <v>38.25</v>
      </c>
      <c r="F177">
        <v>1055957</v>
      </c>
      <c r="G177" t="s">
        <v>272</v>
      </c>
      <c r="H177">
        <v>0.65359477124183007</v>
      </c>
      <c r="I177">
        <v>0.65359477124183007</v>
      </c>
      <c r="J177">
        <v>0</v>
      </c>
    </row>
    <row r="178" spans="1:10" x14ac:dyDescent="0.2">
      <c r="A178" t="s">
        <v>269</v>
      </c>
      <c r="B178" t="s">
        <v>271</v>
      </c>
      <c r="C178" t="s">
        <v>12</v>
      </c>
      <c r="D178" t="s">
        <v>15</v>
      </c>
      <c r="E178">
        <v>38.25</v>
      </c>
      <c r="F178">
        <v>1055957</v>
      </c>
      <c r="G178" t="s">
        <v>16</v>
      </c>
      <c r="H178">
        <v>0.65359477124183007</v>
      </c>
      <c r="I178">
        <v>0.65359477124183007</v>
      </c>
      <c r="J178">
        <v>0</v>
      </c>
    </row>
    <row r="179" spans="1:10" x14ac:dyDescent="0.2">
      <c r="A179" t="s">
        <v>269</v>
      </c>
      <c r="B179" t="s">
        <v>273</v>
      </c>
      <c r="C179" t="s">
        <v>12</v>
      </c>
      <c r="D179" t="s">
        <v>13</v>
      </c>
      <c r="E179" s="5">
        <v>38.75</v>
      </c>
      <c r="F179">
        <v>1494840</v>
      </c>
      <c r="G179" t="s">
        <v>274</v>
      </c>
      <c r="H179">
        <v>-0.64516129032258063</v>
      </c>
      <c r="I179">
        <v>-1.290322580645161</v>
      </c>
      <c r="J179">
        <v>-0.64516129032258063</v>
      </c>
    </row>
    <row r="180" spans="1:10" x14ac:dyDescent="0.2">
      <c r="A180" t="s">
        <v>269</v>
      </c>
      <c r="B180" t="s">
        <v>275</v>
      </c>
      <c r="C180" t="s">
        <v>12</v>
      </c>
      <c r="D180" t="s">
        <v>13</v>
      </c>
      <c r="E180">
        <v>38.5</v>
      </c>
      <c r="F180">
        <v>688900</v>
      </c>
      <c r="G180" t="s">
        <v>276</v>
      </c>
      <c r="H180">
        <v>0</v>
      </c>
      <c r="I180">
        <v>-1.2987012987012989</v>
      </c>
      <c r="J180">
        <v>-0.64935064935064934</v>
      </c>
    </row>
    <row r="181" spans="1:10" x14ac:dyDescent="0.2">
      <c r="A181" t="s">
        <v>269</v>
      </c>
      <c r="B181" t="s">
        <v>275</v>
      </c>
      <c r="C181" t="s">
        <v>12</v>
      </c>
      <c r="D181" t="s">
        <v>15</v>
      </c>
      <c r="E181" s="5">
        <v>38.5</v>
      </c>
      <c r="F181">
        <v>688900</v>
      </c>
      <c r="G181" t="s">
        <v>16</v>
      </c>
      <c r="H181">
        <v>0</v>
      </c>
      <c r="I181">
        <v>-1.2987012987012989</v>
      </c>
      <c r="J181">
        <v>-0.64935064935064934</v>
      </c>
    </row>
    <row r="182" spans="1:10" x14ac:dyDescent="0.2">
      <c r="A182" t="s">
        <v>269</v>
      </c>
      <c r="B182" t="s">
        <v>277</v>
      </c>
      <c r="C182" t="s">
        <v>12</v>
      </c>
      <c r="D182" t="s">
        <v>13</v>
      </c>
      <c r="E182">
        <v>38</v>
      </c>
      <c r="F182">
        <v>1201301</v>
      </c>
      <c r="G182" t="s">
        <v>278</v>
      </c>
      <c r="H182">
        <v>0.6578947368421052</v>
      </c>
      <c r="I182">
        <v>0.6578947368421052</v>
      </c>
      <c r="J182">
        <v>0.6578947368421052</v>
      </c>
    </row>
    <row r="183" spans="1:10" x14ac:dyDescent="0.2">
      <c r="A183" t="s">
        <v>269</v>
      </c>
      <c r="B183" t="s">
        <v>277</v>
      </c>
      <c r="C183" t="s">
        <v>12</v>
      </c>
      <c r="D183" t="s">
        <v>35</v>
      </c>
      <c r="E183" s="4">
        <v>38</v>
      </c>
      <c r="F183">
        <v>1201301</v>
      </c>
      <c r="G183" t="s">
        <v>109</v>
      </c>
      <c r="H183">
        <v>0.6578947368421052</v>
      </c>
      <c r="I183">
        <v>0.6578947368421052</v>
      </c>
      <c r="J183">
        <v>0.6578947368421052</v>
      </c>
    </row>
    <row r="184" spans="1:10" x14ac:dyDescent="0.2">
      <c r="A184" s="3" t="s">
        <v>269</v>
      </c>
      <c r="B184" s="3" t="s">
        <v>279</v>
      </c>
      <c r="C184" s="3" t="s">
        <v>12</v>
      </c>
      <c r="D184" s="3" t="s">
        <v>13</v>
      </c>
      <c r="E184" s="12">
        <v>38</v>
      </c>
      <c r="F184" s="3">
        <v>1055568</v>
      </c>
      <c r="G184" s="3" t="s">
        <v>280</v>
      </c>
      <c r="H184" s="3">
        <v>-0.6578947368421052</v>
      </c>
      <c r="I184" s="3">
        <v>-0.6578947368421052</v>
      </c>
      <c r="J184" s="3">
        <v>-1.9736842105263159</v>
      </c>
    </row>
    <row r="185" spans="1:10" x14ac:dyDescent="0.2">
      <c r="A185" t="s">
        <v>281</v>
      </c>
      <c r="B185" t="s">
        <v>282</v>
      </c>
      <c r="C185" t="s">
        <v>12</v>
      </c>
      <c r="D185" t="s">
        <v>13</v>
      </c>
      <c r="E185">
        <v>38</v>
      </c>
      <c r="F185">
        <v>790240</v>
      </c>
      <c r="G185" t="s">
        <v>283</v>
      </c>
      <c r="H185">
        <v>-0.6578947368421052</v>
      </c>
      <c r="I185">
        <v>-0.6578947368421052</v>
      </c>
      <c r="J185">
        <v>-1.31578947368421</v>
      </c>
    </row>
    <row r="186" spans="1:10" x14ac:dyDescent="0.2">
      <c r="A186" t="s">
        <v>281</v>
      </c>
      <c r="B186" t="s">
        <v>282</v>
      </c>
      <c r="C186" t="s">
        <v>12</v>
      </c>
      <c r="D186" t="s">
        <v>15</v>
      </c>
      <c r="E186">
        <v>38</v>
      </c>
      <c r="F186">
        <v>790240</v>
      </c>
      <c r="G186" t="s">
        <v>16</v>
      </c>
      <c r="H186">
        <v>-0.6578947368421052</v>
      </c>
      <c r="I186">
        <v>-0.6578947368421052</v>
      </c>
      <c r="J186">
        <v>-1.31578947368421</v>
      </c>
    </row>
    <row r="187" spans="1:10" x14ac:dyDescent="0.2">
      <c r="A187" t="s">
        <v>281</v>
      </c>
      <c r="B187" t="s">
        <v>284</v>
      </c>
      <c r="C187" t="s">
        <v>12</v>
      </c>
      <c r="D187" t="s">
        <v>13</v>
      </c>
      <c r="E187">
        <v>37.75</v>
      </c>
      <c r="F187">
        <v>633603</v>
      </c>
      <c r="G187" t="s">
        <v>285</v>
      </c>
      <c r="H187">
        <v>0</v>
      </c>
      <c r="I187">
        <v>0</v>
      </c>
      <c r="J187">
        <v>-0.66225165562913912</v>
      </c>
    </row>
    <row r="188" spans="1:10" x14ac:dyDescent="0.2">
      <c r="A188" t="s">
        <v>281</v>
      </c>
      <c r="B188" t="s">
        <v>286</v>
      </c>
      <c r="C188" t="s">
        <v>12</v>
      </c>
      <c r="D188" t="s">
        <v>13</v>
      </c>
      <c r="E188">
        <v>37.75</v>
      </c>
      <c r="F188">
        <v>880353</v>
      </c>
      <c r="G188" t="s">
        <v>287</v>
      </c>
      <c r="H188">
        <v>-0.66225165562913912</v>
      </c>
      <c r="I188">
        <v>0</v>
      </c>
      <c r="J188">
        <v>-0.66225165562913912</v>
      </c>
    </row>
    <row r="189" spans="1:10" x14ac:dyDescent="0.2">
      <c r="A189" t="s">
        <v>281</v>
      </c>
      <c r="B189" t="s">
        <v>286</v>
      </c>
      <c r="C189" t="s">
        <v>12</v>
      </c>
      <c r="D189" t="s">
        <v>15</v>
      </c>
      <c r="E189">
        <v>37.75</v>
      </c>
      <c r="F189">
        <v>880353</v>
      </c>
      <c r="G189" t="s">
        <v>16</v>
      </c>
      <c r="H189">
        <v>-0.66225165562913912</v>
      </c>
      <c r="I189">
        <v>0</v>
      </c>
      <c r="J189">
        <v>-0.66225165562913912</v>
      </c>
    </row>
    <row r="190" spans="1:10" x14ac:dyDescent="0.2">
      <c r="A190" t="s">
        <v>281</v>
      </c>
      <c r="B190" t="s">
        <v>288</v>
      </c>
      <c r="C190" t="s">
        <v>12</v>
      </c>
      <c r="D190" t="s">
        <v>13</v>
      </c>
      <c r="E190" s="4">
        <v>37.25</v>
      </c>
      <c r="F190">
        <v>3048586</v>
      </c>
      <c r="G190" t="s">
        <v>289</v>
      </c>
      <c r="H190">
        <v>0.67114093959731547</v>
      </c>
      <c r="I190">
        <v>0</v>
      </c>
      <c r="J190">
        <v>0</v>
      </c>
    </row>
    <row r="191" spans="1:10" x14ac:dyDescent="0.2">
      <c r="A191" t="s">
        <v>281</v>
      </c>
      <c r="B191" t="s">
        <v>288</v>
      </c>
      <c r="C191" t="s">
        <v>12</v>
      </c>
      <c r="D191" t="s">
        <v>35</v>
      </c>
      <c r="E191">
        <v>37.25</v>
      </c>
      <c r="F191">
        <v>3048586</v>
      </c>
      <c r="G191" t="s">
        <v>91</v>
      </c>
      <c r="H191">
        <v>0.67114093959731547</v>
      </c>
      <c r="I191">
        <v>0</v>
      </c>
      <c r="J191">
        <v>0</v>
      </c>
    </row>
    <row r="192" spans="1:10" x14ac:dyDescent="0.2">
      <c r="A192" t="s">
        <v>281</v>
      </c>
      <c r="B192" t="s">
        <v>290</v>
      </c>
      <c r="C192" t="s">
        <v>12</v>
      </c>
      <c r="D192" t="s">
        <v>13</v>
      </c>
      <c r="E192" s="5">
        <v>37.5</v>
      </c>
      <c r="F192">
        <v>1681570</v>
      </c>
      <c r="G192" t="s">
        <v>291</v>
      </c>
      <c r="H192">
        <v>0</v>
      </c>
      <c r="I192">
        <v>-0.66666666666666674</v>
      </c>
      <c r="J192">
        <v>-0.66666666666666674</v>
      </c>
    </row>
    <row r="193" spans="1:15" x14ac:dyDescent="0.2">
      <c r="A193" t="s">
        <v>281</v>
      </c>
      <c r="B193" t="s">
        <v>292</v>
      </c>
      <c r="C193" t="s">
        <v>12</v>
      </c>
      <c r="D193" t="s">
        <v>13</v>
      </c>
      <c r="E193" s="4">
        <v>37.5</v>
      </c>
      <c r="F193">
        <v>2025455</v>
      </c>
      <c r="G193" t="s">
        <v>293</v>
      </c>
      <c r="H193" s="4">
        <v>0</v>
      </c>
      <c r="I193" s="4">
        <v>1.333333333333333</v>
      </c>
      <c r="J193" s="4">
        <v>0.66666666666666674</v>
      </c>
      <c r="L193" s="9"/>
      <c r="M193" s="6"/>
      <c r="N193" s="9"/>
      <c r="O193" s="10" t="e">
        <f>((M194-M193)/M193)</f>
        <v>#DIV/0!</v>
      </c>
    </row>
    <row r="194" spans="1:15" x14ac:dyDescent="0.2">
      <c r="A194" t="s">
        <v>281</v>
      </c>
      <c r="B194" t="s">
        <v>292</v>
      </c>
      <c r="C194" t="s">
        <v>12</v>
      </c>
      <c r="D194" t="s">
        <v>15</v>
      </c>
      <c r="E194">
        <v>37.5</v>
      </c>
      <c r="F194">
        <v>2025455</v>
      </c>
      <c r="G194" t="s">
        <v>16</v>
      </c>
      <c r="H194">
        <v>0</v>
      </c>
      <c r="I194">
        <v>1.333333333333333</v>
      </c>
      <c r="J194">
        <v>0.66666666666666674</v>
      </c>
      <c r="L194" s="9"/>
      <c r="M194" s="6"/>
      <c r="N194" s="9"/>
    </row>
    <row r="195" spans="1:15" x14ac:dyDescent="0.2">
      <c r="A195" t="s">
        <v>281</v>
      </c>
      <c r="B195" t="s">
        <v>294</v>
      </c>
      <c r="C195" t="s">
        <v>12</v>
      </c>
      <c r="D195" t="s">
        <v>13</v>
      </c>
      <c r="E195" s="4">
        <v>37.75</v>
      </c>
      <c r="F195">
        <v>1320132</v>
      </c>
      <c r="G195" t="s">
        <v>295</v>
      </c>
      <c r="H195">
        <v>0.66225165562913912</v>
      </c>
      <c r="I195">
        <v>0.66225165562913912</v>
      </c>
      <c r="J195">
        <v>0.66225165562913912</v>
      </c>
    </row>
    <row r="196" spans="1:15" x14ac:dyDescent="0.2">
      <c r="A196" t="s">
        <v>281</v>
      </c>
      <c r="B196" t="s">
        <v>296</v>
      </c>
      <c r="C196" t="s">
        <v>12</v>
      </c>
      <c r="D196" t="s">
        <v>13</v>
      </c>
      <c r="E196" s="4">
        <v>38</v>
      </c>
      <c r="F196">
        <v>1808020</v>
      </c>
      <c r="G196" t="s">
        <v>297</v>
      </c>
      <c r="H196">
        <v>0.6578947368421052</v>
      </c>
      <c r="I196">
        <v>0.6578947368421052</v>
      </c>
      <c r="J196">
        <v>0</v>
      </c>
    </row>
    <row r="197" spans="1:15" x14ac:dyDescent="0.2">
      <c r="A197" t="s">
        <v>281</v>
      </c>
      <c r="B197" t="s">
        <v>298</v>
      </c>
      <c r="C197" t="s">
        <v>12</v>
      </c>
      <c r="D197" t="s">
        <v>13</v>
      </c>
      <c r="E197">
        <v>38.25</v>
      </c>
      <c r="F197">
        <v>675103</v>
      </c>
      <c r="G197" t="s">
        <v>299</v>
      </c>
      <c r="H197">
        <v>-0.65359477124183007</v>
      </c>
      <c r="I197">
        <v>-1.3071895424836599</v>
      </c>
      <c r="J197">
        <v>-0.65359477124183007</v>
      </c>
    </row>
    <row r="198" spans="1:15" x14ac:dyDescent="0.2">
      <c r="A198" s="3" t="s">
        <v>281</v>
      </c>
      <c r="B198" s="3" t="s">
        <v>298</v>
      </c>
      <c r="C198" s="3" t="s">
        <v>12</v>
      </c>
      <c r="D198" s="3" t="s">
        <v>15</v>
      </c>
      <c r="E198" s="12">
        <v>38.25</v>
      </c>
      <c r="F198" s="3">
        <v>675103</v>
      </c>
      <c r="G198" s="3" t="s">
        <v>16</v>
      </c>
      <c r="H198" s="3">
        <v>-0.65359477124183007</v>
      </c>
      <c r="I198" s="3">
        <v>-1.3071895424836599</v>
      </c>
      <c r="J198" s="3">
        <v>-0.65359477124183007</v>
      </c>
    </row>
    <row r="199" spans="1:15" x14ac:dyDescent="0.2">
      <c r="A199" t="s">
        <v>300</v>
      </c>
      <c r="B199" t="s">
        <v>301</v>
      </c>
      <c r="C199" t="s">
        <v>12</v>
      </c>
      <c r="D199" t="s">
        <v>13</v>
      </c>
      <c r="E199">
        <v>37.75</v>
      </c>
      <c r="F199">
        <v>2722325</v>
      </c>
      <c r="G199" t="s">
        <v>302</v>
      </c>
      <c r="H199">
        <v>0</v>
      </c>
      <c r="I199">
        <v>0.66225165562913912</v>
      </c>
      <c r="J199">
        <v>0.66225165562913912</v>
      </c>
    </row>
    <row r="200" spans="1:15" x14ac:dyDescent="0.2">
      <c r="A200" t="s">
        <v>300</v>
      </c>
      <c r="B200" t="s">
        <v>303</v>
      </c>
      <c r="C200" t="s">
        <v>12</v>
      </c>
      <c r="D200" t="s">
        <v>13</v>
      </c>
      <c r="E200" s="4">
        <v>37.75</v>
      </c>
      <c r="F200">
        <v>1505931</v>
      </c>
      <c r="G200" t="s">
        <v>304</v>
      </c>
      <c r="H200">
        <v>0.66225165562913912</v>
      </c>
      <c r="I200">
        <v>0.66225165562913912</v>
      </c>
      <c r="J200">
        <v>0.66225165562913912</v>
      </c>
    </row>
    <row r="201" spans="1:15" x14ac:dyDescent="0.2">
      <c r="A201" t="s">
        <v>300</v>
      </c>
      <c r="B201" t="s">
        <v>305</v>
      </c>
      <c r="C201" t="s">
        <v>12</v>
      </c>
      <c r="D201" t="s">
        <v>13</v>
      </c>
      <c r="E201">
        <v>38</v>
      </c>
      <c r="F201">
        <v>2039622</v>
      </c>
      <c r="G201" t="s">
        <v>306</v>
      </c>
      <c r="H201">
        <v>0.6578947368421052</v>
      </c>
      <c r="I201">
        <v>0</v>
      </c>
      <c r="J201">
        <v>0</v>
      </c>
    </row>
    <row r="202" spans="1:15" x14ac:dyDescent="0.2">
      <c r="A202" t="s">
        <v>300</v>
      </c>
      <c r="B202" t="s">
        <v>305</v>
      </c>
      <c r="C202" t="s">
        <v>12</v>
      </c>
      <c r="D202" t="s">
        <v>15</v>
      </c>
      <c r="E202" s="4">
        <v>38</v>
      </c>
      <c r="F202">
        <v>2039622</v>
      </c>
      <c r="G202" t="s">
        <v>16</v>
      </c>
      <c r="H202">
        <v>0.6578947368421052</v>
      </c>
      <c r="I202">
        <v>0</v>
      </c>
      <c r="J202">
        <v>0</v>
      </c>
    </row>
    <row r="203" spans="1:15" x14ac:dyDescent="0.2">
      <c r="A203" t="s">
        <v>300</v>
      </c>
      <c r="B203" t="s">
        <v>307</v>
      </c>
      <c r="C203" t="s">
        <v>12</v>
      </c>
      <c r="D203" t="s">
        <v>13</v>
      </c>
      <c r="E203" s="4">
        <v>37.75</v>
      </c>
      <c r="F203">
        <v>1328109</v>
      </c>
      <c r="G203" t="s">
        <v>308</v>
      </c>
      <c r="H203">
        <v>0</v>
      </c>
      <c r="I203">
        <v>0</v>
      </c>
      <c r="J203">
        <v>0.66225165562913912</v>
      </c>
    </row>
    <row r="204" spans="1:15" x14ac:dyDescent="0.2">
      <c r="A204" t="s">
        <v>300</v>
      </c>
      <c r="B204" t="s">
        <v>309</v>
      </c>
      <c r="C204" t="s">
        <v>12</v>
      </c>
      <c r="D204" t="s">
        <v>13</v>
      </c>
      <c r="E204" s="5">
        <v>38.25</v>
      </c>
      <c r="F204">
        <v>1178812</v>
      </c>
      <c r="G204" t="s">
        <v>310</v>
      </c>
      <c r="H204">
        <v>-0.65359477124183007</v>
      </c>
      <c r="I204">
        <v>-0.65359477124183007</v>
      </c>
      <c r="J204">
        <v>-0.65359477124183007</v>
      </c>
    </row>
    <row r="205" spans="1:15" x14ac:dyDescent="0.2">
      <c r="A205" s="3" t="s">
        <v>300</v>
      </c>
      <c r="B205" s="3" t="s">
        <v>311</v>
      </c>
      <c r="C205" s="3" t="s">
        <v>12</v>
      </c>
      <c r="D205" s="3" t="s">
        <v>35</v>
      </c>
      <c r="E205" s="3">
        <v>38</v>
      </c>
      <c r="F205" s="3">
        <v>671581</v>
      </c>
      <c r="G205" s="3" t="s">
        <v>312</v>
      </c>
      <c r="H205" s="3">
        <v>0</v>
      </c>
      <c r="I205" s="3">
        <v>-0.6578947368421052</v>
      </c>
      <c r="J205" s="3">
        <v>0</v>
      </c>
    </row>
    <row r="206" spans="1:15" x14ac:dyDescent="0.2">
      <c r="A206" t="s">
        <v>313</v>
      </c>
      <c r="B206" t="s">
        <v>314</v>
      </c>
      <c r="C206" t="s">
        <v>12</v>
      </c>
      <c r="D206" t="s">
        <v>13</v>
      </c>
      <c r="E206">
        <v>37.75</v>
      </c>
      <c r="F206">
        <v>271751</v>
      </c>
      <c r="G206" t="s">
        <v>315</v>
      </c>
      <c r="H206">
        <v>0</v>
      </c>
      <c r="I206">
        <v>0</v>
      </c>
      <c r="J206">
        <v>-0.66225165562913912</v>
      </c>
    </row>
    <row r="207" spans="1:15" x14ac:dyDescent="0.2">
      <c r="A207" t="s">
        <v>313</v>
      </c>
      <c r="B207" t="s">
        <v>314</v>
      </c>
      <c r="C207" t="s">
        <v>12</v>
      </c>
      <c r="D207" t="s">
        <v>15</v>
      </c>
      <c r="E207">
        <v>37.75</v>
      </c>
      <c r="F207">
        <v>271751</v>
      </c>
      <c r="G207" t="s">
        <v>16</v>
      </c>
      <c r="H207">
        <v>0</v>
      </c>
      <c r="I207">
        <v>0</v>
      </c>
      <c r="J207">
        <v>-0.66225165562913912</v>
      </c>
    </row>
    <row r="208" spans="1:15" x14ac:dyDescent="0.2">
      <c r="A208" t="s">
        <v>313</v>
      </c>
      <c r="B208" t="s">
        <v>316</v>
      </c>
      <c r="C208" t="s">
        <v>12</v>
      </c>
      <c r="D208" t="s">
        <v>13</v>
      </c>
      <c r="E208" s="4">
        <v>37.5</v>
      </c>
      <c r="F208">
        <v>439824</v>
      </c>
      <c r="G208" t="s">
        <v>317</v>
      </c>
      <c r="H208">
        <v>0.66666666666666674</v>
      </c>
      <c r="I208">
        <v>0.66666666666666674</v>
      </c>
      <c r="J208">
        <v>0.66666666666666674</v>
      </c>
    </row>
    <row r="209" spans="1:10" x14ac:dyDescent="0.2">
      <c r="A209" t="s">
        <v>313</v>
      </c>
      <c r="B209" t="s">
        <v>318</v>
      </c>
      <c r="C209" t="s">
        <v>12</v>
      </c>
      <c r="D209" t="s">
        <v>13</v>
      </c>
      <c r="E209">
        <v>37.75</v>
      </c>
      <c r="F209">
        <v>615267</v>
      </c>
      <c r="G209" t="s">
        <v>319</v>
      </c>
      <c r="H209">
        <v>0</v>
      </c>
      <c r="I209">
        <v>0</v>
      </c>
      <c r="J209">
        <v>0</v>
      </c>
    </row>
    <row r="210" spans="1:10" x14ac:dyDescent="0.2">
      <c r="A210" t="s">
        <v>313</v>
      </c>
      <c r="B210" t="s">
        <v>318</v>
      </c>
      <c r="C210" t="s">
        <v>12</v>
      </c>
      <c r="D210" t="s">
        <v>15</v>
      </c>
      <c r="E210">
        <v>37.75</v>
      </c>
      <c r="F210">
        <v>615267</v>
      </c>
      <c r="G210" t="s">
        <v>16</v>
      </c>
      <c r="H210">
        <v>0</v>
      </c>
      <c r="I210">
        <v>0</v>
      </c>
      <c r="J210">
        <v>0</v>
      </c>
    </row>
    <row r="211" spans="1:10" x14ac:dyDescent="0.2">
      <c r="A211" t="s">
        <v>313</v>
      </c>
      <c r="B211" t="s">
        <v>320</v>
      </c>
      <c r="C211" t="s">
        <v>12</v>
      </c>
      <c r="D211" t="s">
        <v>13</v>
      </c>
      <c r="E211" s="5">
        <v>37.75</v>
      </c>
      <c r="F211">
        <v>578023</v>
      </c>
      <c r="G211" t="s">
        <v>321</v>
      </c>
      <c r="H211">
        <v>0</v>
      </c>
      <c r="I211">
        <v>-0.66225165562913912</v>
      </c>
      <c r="J211">
        <v>0</v>
      </c>
    </row>
    <row r="212" spans="1:10" x14ac:dyDescent="0.2">
      <c r="A212" t="s">
        <v>313</v>
      </c>
      <c r="B212" t="s">
        <v>320</v>
      </c>
      <c r="C212" t="s">
        <v>12</v>
      </c>
      <c r="D212" t="s">
        <v>15</v>
      </c>
      <c r="E212">
        <v>37.75</v>
      </c>
      <c r="F212">
        <v>578023</v>
      </c>
      <c r="G212" t="s">
        <v>16</v>
      </c>
      <c r="H212">
        <v>0</v>
      </c>
      <c r="I212">
        <v>-0.66225165562913912</v>
      </c>
      <c r="J212">
        <v>0</v>
      </c>
    </row>
    <row r="213" spans="1:10" x14ac:dyDescent="0.2">
      <c r="A213" t="s">
        <v>313</v>
      </c>
      <c r="B213" t="s">
        <v>322</v>
      </c>
      <c r="C213" t="s">
        <v>12</v>
      </c>
      <c r="D213" t="s">
        <v>13</v>
      </c>
      <c r="E213" s="4">
        <v>37.75</v>
      </c>
      <c r="F213">
        <v>1656410</v>
      </c>
      <c r="G213" t="s">
        <v>323</v>
      </c>
      <c r="H213">
        <v>0.66225165562913912</v>
      </c>
      <c r="I213">
        <v>0.66225165562913912</v>
      </c>
      <c r="J213">
        <v>0</v>
      </c>
    </row>
    <row r="214" spans="1:10" x14ac:dyDescent="0.2">
      <c r="A214" t="s">
        <v>313</v>
      </c>
      <c r="B214" t="s">
        <v>322</v>
      </c>
      <c r="C214" t="s">
        <v>12</v>
      </c>
      <c r="D214" t="s">
        <v>15</v>
      </c>
      <c r="E214">
        <v>37.75</v>
      </c>
      <c r="F214">
        <v>1656410</v>
      </c>
      <c r="G214" t="s">
        <v>16</v>
      </c>
      <c r="H214">
        <v>0.66225165562913912</v>
      </c>
      <c r="I214">
        <v>0.66225165562913912</v>
      </c>
      <c r="J214">
        <v>0</v>
      </c>
    </row>
    <row r="215" spans="1:10" x14ac:dyDescent="0.2">
      <c r="A215" t="s">
        <v>313</v>
      </c>
      <c r="B215" t="s">
        <v>324</v>
      </c>
      <c r="C215" t="s">
        <v>12</v>
      </c>
      <c r="D215" t="s">
        <v>13</v>
      </c>
      <c r="E215">
        <v>37.75</v>
      </c>
      <c r="F215">
        <v>939432</v>
      </c>
      <c r="G215" t="s">
        <v>325</v>
      </c>
      <c r="H215">
        <v>0.66225165562913912</v>
      </c>
      <c r="I215">
        <v>0</v>
      </c>
      <c r="J215">
        <v>0.66225165562913912</v>
      </c>
    </row>
    <row r="216" spans="1:10" x14ac:dyDescent="0.2">
      <c r="A216" t="s">
        <v>313</v>
      </c>
      <c r="B216" t="s">
        <v>324</v>
      </c>
      <c r="C216" t="s">
        <v>12</v>
      </c>
      <c r="D216" t="s">
        <v>15</v>
      </c>
      <c r="E216" s="4">
        <v>37.75</v>
      </c>
      <c r="F216">
        <v>939432</v>
      </c>
      <c r="G216" t="s">
        <v>16</v>
      </c>
      <c r="H216">
        <v>0.66225165562913912</v>
      </c>
      <c r="I216">
        <v>0</v>
      </c>
      <c r="J216">
        <v>0.66225165562913912</v>
      </c>
    </row>
    <row r="217" spans="1:10" x14ac:dyDescent="0.2">
      <c r="A217" s="3" t="s">
        <v>313</v>
      </c>
      <c r="B217" s="3" t="s">
        <v>326</v>
      </c>
      <c r="C217" s="3" t="s">
        <v>12</v>
      </c>
      <c r="D217" s="3" t="s">
        <v>13</v>
      </c>
      <c r="E217" s="12">
        <v>37.75</v>
      </c>
      <c r="F217" s="3">
        <v>790005</v>
      </c>
      <c r="G217" s="3" t="s">
        <v>327</v>
      </c>
      <c r="H217" s="3">
        <v>0</v>
      </c>
      <c r="I217" s="3">
        <v>-0.66225165562913912</v>
      </c>
      <c r="J217" s="3">
        <v>0</v>
      </c>
    </row>
    <row r="218" spans="1:10" x14ac:dyDescent="0.2">
      <c r="A218" t="s">
        <v>328</v>
      </c>
      <c r="B218" t="s">
        <v>329</v>
      </c>
      <c r="C218" t="s">
        <v>12</v>
      </c>
      <c r="D218" t="s">
        <v>13</v>
      </c>
      <c r="E218">
        <v>38.25</v>
      </c>
      <c r="F218">
        <v>2540796</v>
      </c>
      <c r="G218" t="s">
        <v>330</v>
      </c>
      <c r="H218">
        <v>0</v>
      </c>
      <c r="I218">
        <v>0</v>
      </c>
      <c r="J218">
        <v>0</v>
      </c>
    </row>
    <row r="219" spans="1:10" x14ac:dyDescent="0.2">
      <c r="A219" t="s">
        <v>328</v>
      </c>
      <c r="B219" t="s">
        <v>329</v>
      </c>
      <c r="C219" t="s">
        <v>12</v>
      </c>
      <c r="D219" t="s">
        <v>35</v>
      </c>
      <c r="E219">
        <v>38.25</v>
      </c>
      <c r="F219">
        <v>2540796</v>
      </c>
      <c r="G219" t="s">
        <v>224</v>
      </c>
      <c r="H219">
        <v>0</v>
      </c>
      <c r="I219">
        <v>0</v>
      </c>
      <c r="J219">
        <v>0</v>
      </c>
    </row>
    <row r="220" spans="1:10" x14ac:dyDescent="0.2">
      <c r="A220" t="s">
        <v>328</v>
      </c>
      <c r="B220" t="s">
        <v>331</v>
      </c>
      <c r="C220" t="s">
        <v>12</v>
      </c>
      <c r="D220" t="s">
        <v>13</v>
      </c>
      <c r="E220" s="5">
        <v>38.25</v>
      </c>
      <c r="F220">
        <v>1666023</v>
      </c>
      <c r="G220" t="s">
        <v>332</v>
      </c>
      <c r="H220">
        <v>0</v>
      </c>
      <c r="I220">
        <v>0</v>
      </c>
      <c r="J220">
        <v>-0.65359477124183007</v>
      </c>
    </row>
    <row r="221" spans="1:10" x14ac:dyDescent="0.2">
      <c r="A221" t="s">
        <v>328</v>
      </c>
      <c r="B221" t="s">
        <v>331</v>
      </c>
      <c r="C221" t="s">
        <v>12</v>
      </c>
      <c r="D221" t="s">
        <v>15</v>
      </c>
      <c r="E221">
        <v>38.25</v>
      </c>
      <c r="F221">
        <v>1666023</v>
      </c>
      <c r="G221" t="s">
        <v>16</v>
      </c>
      <c r="H221">
        <v>0</v>
      </c>
      <c r="I221">
        <v>0</v>
      </c>
      <c r="J221">
        <v>-0.65359477124183007</v>
      </c>
    </row>
    <row r="222" spans="1:10" x14ac:dyDescent="0.2">
      <c r="A222" t="s">
        <v>328</v>
      </c>
      <c r="B222" t="s">
        <v>333</v>
      </c>
      <c r="C222" t="s">
        <v>12</v>
      </c>
      <c r="D222" t="s">
        <v>13</v>
      </c>
      <c r="E222">
        <v>38.25</v>
      </c>
      <c r="F222">
        <v>2248401</v>
      </c>
      <c r="G222" t="s">
        <v>334</v>
      </c>
      <c r="H222">
        <v>-0.65359477124183007</v>
      </c>
      <c r="I222">
        <v>-0.65359477124183007</v>
      </c>
      <c r="J222">
        <v>-1.3071895424836599</v>
      </c>
    </row>
    <row r="223" spans="1:10" x14ac:dyDescent="0.2">
      <c r="A223" t="s">
        <v>328</v>
      </c>
      <c r="B223" t="s">
        <v>333</v>
      </c>
      <c r="C223" t="s">
        <v>12</v>
      </c>
      <c r="D223" t="s">
        <v>35</v>
      </c>
      <c r="E223">
        <v>38.25</v>
      </c>
      <c r="F223">
        <v>2248401</v>
      </c>
      <c r="G223" t="s">
        <v>109</v>
      </c>
      <c r="H223">
        <v>-0.65359477124183007</v>
      </c>
      <c r="I223">
        <v>-0.65359477124183007</v>
      </c>
      <c r="J223">
        <v>-1.3071895424836599</v>
      </c>
    </row>
    <row r="224" spans="1:10" x14ac:dyDescent="0.2">
      <c r="A224" t="s">
        <v>328</v>
      </c>
      <c r="B224" t="s">
        <v>333</v>
      </c>
      <c r="C224" t="s">
        <v>12</v>
      </c>
      <c r="D224" t="s">
        <v>15</v>
      </c>
      <c r="E224">
        <v>38.25</v>
      </c>
      <c r="F224">
        <v>2248401</v>
      </c>
      <c r="G224" t="s">
        <v>16</v>
      </c>
      <c r="H224">
        <v>-0.65359477124183007</v>
      </c>
      <c r="I224">
        <v>-0.65359477124183007</v>
      </c>
      <c r="J224">
        <v>-1.3071895424836599</v>
      </c>
    </row>
    <row r="225" spans="1:10" x14ac:dyDescent="0.2">
      <c r="A225" t="s">
        <v>328</v>
      </c>
      <c r="B225" t="s">
        <v>335</v>
      </c>
      <c r="C225" t="s">
        <v>12</v>
      </c>
      <c r="D225" t="s">
        <v>13</v>
      </c>
      <c r="E225">
        <v>38</v>
      </c>
      <c r="F225">
        <v>2217600</v>
      </c>
      <c r="G225" t="s">
        <v>336</v>
      </c>
      <c r="H225">
        <v>0</v>
      </c>
      <c r="I225">
        <v>0</v>
      </c>
      <c r="J225">
        <v>-0.6578947368421052</v>
      </c>
    </row>
    <row r="226" spans="1:10" x14ac:dyDescent="0.2">
      <c r="A226" t="s">
        <v>328</v>
      </c>
      <c r="B226" t="s">
        <v>335</v>
      </c>
      <c r="C226" t="s">
        <v>12</v>
      </c>
      <c r="D226" t="s">
        <v>35</v>
      </c>
      <c r="E226">
        <v>38</v>
      </c>
      <c r="F226">
        <v>2217600</v>
      </c>
      <c r="G226" t="s">
        <v>109</v>
      </c>
      <c r="H226">
        <v>0</v>
      </c>
      <c r="I226">
        <v>0</v>
      </c>
      <c r="J226">
        <v>-0.6578947368421052</v>
      </c>
    </row>
    <row r="227" spans="1:10" x14ac:dyDescent="0.2">
      <c r="A227" s="3" t="s">
        <v>328</v>
      </c>
      <c r="B227" s="3" t="s">
        <v>337</v>
      </c>
      <c r="C227" s="3" t="s">
        <v>12</v>
      </c>
      <c r="D227" s="3" t="s">
        <v>13</v>
      </c>
      <c r="E227" s="3">
        <v>38</v>
      </c>
      <c r="F227" s="3">
        <v>2413258</v>
      </c>
      <c r="G227" s="3" t="s">
        <v>338</v>
      </c>
      <c r="H227" s="3">
        <v>0</v>
      </c>
      <c r="I227" s="3">
        <v>-0.6578947368421052</v>
      </c>
      <c r="J227" s="3">
        <v>-0.6578947368421052</v>
      </c>
    </row>
    <row r="228" spans="1:10" x14ac:dyDescent="0.2">
      <c r="A228" t="s">
        <v>339</v>
      </c>
      <c r="B228" t="s">
        <v>340</v>
      </c>
      <c r="C228" t="s">
        <v>12</v>
      </c>
      <c r="D228" t="s">
        <v>13</v>
      </c>
      <c r="E228" s="4">
        <v>37.5</v>
      </c>
      <c r="F228">
        <v>1330780</v>
      </c>
      <c r="G228" t="s">
        <v>341</v>
      </c>
      <c r="H228">
        <v>0.66666666666666674</v>
      </c>
      <c r="I228">
        <v>0</v>
      </c>
      <c r="J228">
        <v>0</v>
      </c>
    </row>
    <row r="229" spans="1:10" x14ac:dyDescent="0.2">
      <c r="A229" t="s">
        <v>339</v>
      </c>
      <c r="B229" t="s">
        <v>340</v>
      </c>
      <c r="C229" t="s">
        <v>12</v>
      </c>
      <c r="D229" t="s">
        <v>15</v>
      </c>
      <c r="E229">
        <v>37.5</v>
      </c>
      <c r="F229">
        <v>1330780</v>
      </c>
      <c r="G229" t="s">
        <v>16</v>
      </c>
      <c r="H229">
        <v>0.66666666666666674</v>
      </c>
      <c r="I229">
        <v>0</v>
      </c>
      <c r="J229">
        <v>0</v>
      </c>
    </row>
    <row r="230" spans="1:10" x14ac:dyDescent="0.2">
      <c r="A230" t="s">
        <v>339</v>
      </c>
      <c r="B230" t="s">
        <v>342</v>
      </c>
      <c r="C230" t="s">
        <v>12</v>
      </c>
      <c r="D230" t="s">
        <v>13</v>
      </c>
      <c r="E230">
        <v>37.5</v>
      </c>
      <c r="F230">
        <v>656905</v>
      </c>
      <c r="G230" t="s">
        <v>343</v>
      </c>
      <c r="H230">
        <v>0</v>
      </c>
      <c r="I230">
        <v>0</v>
      </c>
      <c r="J230">
        <v>0</v>
      </c>
    </row>
    <row r="231" spans="1:10" x14ac:dyDescent="0.2">
      <c r="A231" t="s">
        <v>339</v>
      </c>
      <c r="B231" t="s">
        <v>344</v>
      </c>
      <c r="C231" t="s">
        <v>12</v>
      </c>
      <c r="D231" t="s">
        <v>13</v>
      </c>
      <c r="E231">
        <v>37.5</v>
      </c>
      <c r="F231">
        <v>962154</v>
      </c>
      <c r="G231" t="s">
        <v>345</v>
      </c>
      <c r="H231">
        <v>0</v>
      </c>
      <c r="I231">
        <v>0.66666666666666674</v>
      </c>
      <c r="J231">
        <v>-0.66666666666666674</v>
      </c>
    </row>
    <row r="232" spans="1:10" x14ac:dyDescent="0.2">
      <c r="A232" t="s">
        <v>339</v>
      </c>
      <c r="B232" t="s">
        <v>344</v>
      </c>
      <c r="C232" t="s">
        <v>12</v>
      </c>
      <c r="D232" t="s">
        <v>15</v>
      </c>
      <c r="E232">
        <v>37.5</v>
      </c>
      <c r="F232">
        <v>962154</v>
      </c>
      <c r="G232" t="s">
        <v>16</v>
      </c>
      <c r="H232">
        <v>0</v>
      </c>
      <c r="I232">
        <v>0.66666666666666674</v>
      </c>
      <c r="J232">
        <v>-0.66666666666666674</v>
      </c>
    </row>
    <row r="233" spans="1:10" x14ac:dyDescent="0.2">
      <c r="A233" t="s">
        <v>339</v>
      </c>
      <c r="B233" t="s">
        <v>346</v>
      </c>
      <c r="C233" t="s">
        <v>12</v>
      </c>
      <c r="D233" t="s">
        <v>13</v>
      </c>
      <c r="E233">
        <v>37.25</v>
      </c>
      <c r="F233">
        <v>2448660</v>
      </c>
      <c r="G233" t="s">
        <v>347</v>
      </c>
      <c r="H233">
        <v>0</v>
      </c>
      <c r="I233">
        <v>0</v>
      </c>
      <c r="J233">
        <v>0</v>
      </c>
    </row>
    <row r="234" spans="1:10" x14ac:dyDescent="0.2">
      <c r="A234" t="s">
        <v>339</v>
      </c>
      <c r="B234" t="s">
        <v>346</v>
      </c>
      <c r="C234" t="s">
        <v>12</v>
      </c>
      <c r="D234" t="s">
        <v>15</v>
      </c>
      <c r="E234">
        <v>37.25</v>
      </c>
      <c r="F234">
        <v>2448660</v>
      </c>
      <c r="G234" t="s">
        <v>16</v>
      </c>
      <c r="H234">
        <v>0</v>
      </c>
      <c r="I234">
        <v>0</v>
      </c>
      <c r="J234">
        <v>0</v>
      </c>
    </row>
    <row r="235" spans="1:10" x14ac:dyDescent="0.2">
      <c r="A235" t="s">
        <v>339</v>
      </c>
      <c r="B235" t="s">
        <v>348</v>
      </c>
      <c r="C235" t="s">
        <v>12</v>
      </c>
      <c r="D235" t="s">
        <v>13</v>
      </c>
      <c r="E235">
        <v>37.25</v>
      </c>
      <c r="F235">
        <v>1790812</v>
      </c>
      <c r="G235" t="s">
        <v>349</v>
      </c>
      <c r="H235">
        <v>0</v>
      </c>
      <c r="I235">
        <v>0</v>
      </c>
      <c r="J235">
        <v>0</v>
      </c>
    </row>
    <row r="236" spans="1:10" x14ac:dyDescent="0.2">
      <c r="A236" t="s">
        <v>339</v>
      </c>
      <c r="B236" t="s">
        <v>348</v>
      </c>
      <c r="C236" t="s">
        <v>12</v>
      </c>
      <c r="D236" t="s">
        <v>15</v>
      </c>
      <c r="E236">
        <v>37.25</v>
      </c>
      <c r="F236">
        <v>1790812</v>
      </c>
      <c r="G236" t="s">
        <v>16</v>
      </c>
      <c r="H236">
        <v>0</v>
      </c>
      <c r="I236">
        <v>0</v>
      </c>
      <c r="J236">
        <v>0</v>
      </c>
    </row>
    <row r="237" spans="1:10" x14ac:dyDescent="0.2">
      <c r="A237" s="3" t="s">
        <v>339</v>
      </c>
      <c r="B237" s="3" t="s">
        <v>350</v>
      </c>
      <c r="C237" s="3" t="s">
        <v>12</v>
      </c>
      <c r="D237" s="3" t="s">
        <v>35</v>
      </c>
      <c r="E237" s="3">
        <v>37.25</v>
      </c>
      <c r="F237" s="3">
        <v>796902</v>
      </c>
      <c r="G237" s="3" t="s">
        <v>312</v>
      </c>
      <c r="H237" s="3">
        <v>0</v>
      </c>
      <c r="I237" s="3">
        <v>0</v>
      </c>
      <c r="J237" s="3">
        <v>0</v>
      </c>
    </row>
    <row r="238" spans="1:10" x14ac:dyDescent="0.2">
      <c r="A238" t="s">
        <v>351</v>
      </c>
      <c r="B238" t="s">
        <v>352</v>
      </c>
      <c r="C238" t="s">
        <v>12</v>
      </c>
      <c r="D238" t="s">
        <v>13</v>
      </c>
      <c r="E238" s="5">
        <v>37.5</v>
      </c>
      <c r="F238">
        <v>1892086</v>
      </c>
      <c r="G238" t="s">
        <v>353</v>
      </c>
      <c r="H238">
        <v>-0.66666666666666674</v>
      </c>
      <c r="I238">
        <v>0</v>
      </c>
      <c r="J238">
        <v>0</v>
      </c>
    </row>
    <row r="239" spans="1:10" x14ac:dyDescent="0.2">
      <c r="A239" t="s">
        <v>351</v>
      </c>
      <c r="B239" t="s">
        <v>354</v>
      </c>
      <c r="C239" t="s">
        <v>12</v>
      </c>
      <c r="D239" t="s">
        <v>13</v>
      </c>
      <c r="E239" s="4">
        <v>37</v>
      </c>
      <c r="F239">
        <v>1528158</v>
      </c>
      <c r="G239" t="s">
        <v>355</v>
      </c>
      <c r="H239" s="4">
        <v>0.67567567567567566</v>
      </c>
      <c r="I239" s="4">
        <v>0.67567567567567566</v>
      </c>
      <c r="J239" s="4">
        <v>1.3513513513513511</v>
      </c>
    </row>
    <row r="240" spans="1:10" x14ac:dyDescent="0.2">
      <c r="A240" t="s">
        <v>351</v>
      </c>
      <c r="B240" t="s">
        <v>356</v>
      </c>
      <c r="C240" t="s">
        <v>12</v>
      </c>
      <c r="D240" t="s">
        <v>13</v>
      </c>
      <c r="E240" s="5">
        <v>37.5</v>
      </c>
      <c r="F240">
        <v>1544701</v>
      </c>
      <c r="G240" t="s">
        <v>357</v>
      </c>
      <c r="H240">
        <v>-0.66666666666666674</v>
      </c>
      <c r="I240">
        <v>0</v>
      </c>
      <c r="J240">
        <v>0</v>
      </c>
    </row>
    <row r="241" spans="1:10" x14ac:dyDescent="0.2">
      <c r="A241" t="s">
        <v>351</v>
      </c>
      <c r="B241" t="s">
        <v>358</v>
      </c>
      <c r="C241" t="s">
        <v>12</v>
      </c>
      <c r="D241" t="s">
        <v>13</v>
      </c>
      <c r="E241">
        <v>37</v>
      </c>
      <c r="F241">
        <v>1537002</v>
      </c>
      <c r="G241" t="s">
        <v>359</v>
      </c>
      <c r="H241">
        <v>0</v>
      </c>
      <c r="I241">
        <v>0.67567567567567566</v>
      </c>
      <c r="J241">
        <v>0.67567567567567566</v>
      </c>
    </row>
    <row r="242" spans="1:10" x14ac:dyDescent="0.2">
      <c r="A242" t="s">
        <v>351</v>
      </c>
      <c r="B242" t="s">
        <v>360</v>
      </c>
      <c r="C242" t="s">
        <v>12</v>
      </c>
      <c r="D242" t="s">
        <v>13</v>
      </c>
      <c r="E242">
        <v>36.75</v>
      </c>
      <c r="F242">
        <v>2511026</v>
      </c>
      <c r="G242" t="s">
        <v>361</v>
      </c>
      <c r="H242">
        <v>-0.68027210884353739</v>
      </c>
      <c r="I242">
        <v>-0.68027210884353739</v>
      </c>
      <c r="J242">
        <v>0.68027210884353739</v>
      </c>
    </row>
    <row r="243" spans="1:10" x14ac:dyDescent="0.2">
      <c r="A243" t="s">
        <v>351</v>
      </c>
      <c r="B243" t="s">
        <v>362</v>
      </c>
      <c r="C243" t="s">
        <v>12</v>
      </c>
      <c r="D243" t="s">
        <v>13</v>
      </c>
      <c r="E243" s="4">
        <v>36.75</v>
      </c>
      <c r="F243">
        <v>2099641</v>
      </c>
      <c r="G243" t="s">
        <v>363</v>
      </c>
      <c r="H243">
        <v>0</v>
      </c>
      <c r="I243">
        <v>0</v>
      </c>
      <c r="J243">
        <v>0.68027210884353739</v>
      </c>
    </row>
    <row r="244" spans="1:10" x14ac:dyDescent="0.2">
      <c r="A244" t="s">
        <v>351</v>
      </c>
      <c r="B244" t="s">
        <v>362</v>
      </c>
      <c r="C244" t="s">
        <v>12</v>
      </c>
      <c r="D244" t="s">
        <v>15</v>
      </c>
      <c r="E244">
        <v>36.75</v>
      </c>
      <c r="F244">
        <v>2099641</v>
      </c>
      <c r="G244" t="s">
        <v>16</v>
      </c>
      <c r="H244">
        <v>0</v>
      </c>
      <c r="I244">
        <v>0</v>
      </c>
      <c r="J244">
        <v>0.68027210884353739</v>
      </c>
    </row>
    <row r="245" spans="1:10" x14ac:dyDescent="0.2">
      <c r="A245" s="3" t="s">
        <v>351</v>
      </c>
      <c r="B245" s="3" t="s">
        <v>364</v>
      </c>
      <c r="C245" s="3" t="s">
        <v>12</v>
      </c>
      <c r="D245" s="3" t="s">
        <v>13</v>
      </c>
      <c r="E245" s="11">
        <v>36.5</v>
      </c>
      <c r="F245" s="3">
        <v>4186570</v>
      </c>
      <c r="G245" s="3" t="s">
        <v>365</v>
      </c>
      <c r="H245" s="3">
        <v>0</v>
      </c>
      <c r="I245" s="3">
        <v>0</v>
      </c>
      <c r="J245" s="3">
        <v>1.3698630136986301</v>
      </c>
    </row>
    <row r="246" spans="1:10" x14ac:dyDescent="0.2">
      <c r="A246" t="s">
        <v>366</v>
      </c>
      <c r="B246" t="s">
        <v>367</v>
      </c>
      <c r="C246" t="s">
        <v>12</v>
      </c>
      <c r="D246" t="s">
        <v>13</v>
      </c>
      <c r="E246" s="5">
        <v>36.75</v>
      </c>
      <c r="F246">
        <v>1123723</v>
      </c>
      <c r="G246" t="s">
        <v>368</v>
      </c>
      <c r="H246">
        <v>-0.68027210884353739</v>
      </c>
      <c r="I246">
        <v>-0.68027210884353739</v>
      </c>
      <c r="J246">
        <v>0</v>
      </c>
    </row>
    <row r="247" spans="1:10" x14ac:dyDescent="0.2">
      <c r="A247" t="s">
        <v>366</v>
      </c>
      <c r="B247" t="s">
        <v>369</v>
      </c>
      <c r="C247" t="s">
        <v>12</v>
      </c>
      <c r="D247" t="s">
        <v>13</v>
      </c>
      <c r="E247">
        <v>36.75</v>
      </c>
      <c r="F247">
        <v>3722560</v>
      </c>
      <c r="G247" t="s">
        <v>370</v>
      </c>
      <c r="H247">
        <v>0</v>
      </c>
      <c r="I247">
        <v>0</v>
      </c>
      <c r="J247">
        <v>0</v>
      </c>
    </row>
    <row r="248" spans="1:10" x14ac:dyDescent="0.2">
      <c r="A248" t="s">
        <v>366</v>
      </c>
      <c r="B248" t="s">
        <v>371</v>
      </c>
      <c r="C248" t="s">
        <v>12</v>
      </c>
      <c r="D248" t="s">
        <v>13</v>
      </c>
      <c r="E248">
        <v>36.75</v>
      </c>
      <c r="F248">
        <v>1170230</v>
      </c>
      <c r="G248" t="s">
        <v>372</v>
      </c>
      <c r="H248">
        <v>0.68027210884353739</v>
      </c>
      <c r="I248">
        <v>0</v>
      </c>
      <c r="J248">
        <v>-0.68027210884353739</v>
      </c>
    </row>
    <row r="249" spans="1:10" x14ac:dyDescent="0.2">
      <c r="A249" t="s">
        <v>366</v>
      </c>
      <c r="B249" t="s">
        <v>371</v>
      </c>
      <c r="C249" t="s">
        <v>12</v>
      </c>
      <c r="D249" t="s">
        <v>15</v>
      </c>
      <c r="E249">
        <v>36.75</v>
      </c>
      <c r="F249">
        <v>1170230</v>
      </c>
      <c r="G249" t="s">
        <v>16</v>
      </c>
      <c r="H249">
        <v>0.68027210884353739</v>
      </c>
      <c r="I249">
        <v>0</v>
      </c>
      <c r="J249">
        <v>-0.68027210884353739</v>
      </c>
    </row>
    <row r="250" spans="1:10" x14ac:dyDescent="0.2">
      <c r="A250" s="3" t="s">
        <v>366</v>
      </c>
      <c r="B250" s="3" t="s">
        <v>373</v>
      </c>
      <c r="C250" s="3" t="s">
        <v>12</v>
      </c>
      <c r="D250" s="3" t="s">
        <v>13</v>
      </c>
      <c r="E250" s="3">
        <v>36.75</v>
      </c>
      <c r="F250" s="3">
        <v>2509303</v>
      </c>
      <c r="G250" s="3" t="s">
        <v>374</v>
      </c>
      <c r="H250" s="3">
        <v>0</v>
      </c>
      <c r="I250" s="3">
        <v>0.68027210884353739</v>
      </c>
      <c r="J250" s="3">
        <v>-0.68027210884353739</v>
      </c>
    </row>
    <row r="251" spans="1:10" x14ac:dyDescent="0.2">
      <c r="A251" t="s">
        <v>375</v>
      </c>
      <c r="B251" t="s">
        <v>376</v>
      </c>
      <c r="C251" t="s">
        <v>12</v>
      </c>
      <c r="D251" t="s">
        <v>13</v>
      </c>
      <c r="E251" s="4">
        <v>36</v>
      </c>
      <c r="F251">
        <v>2182676</v>
      </c>
      <c r="G251" t="s">
        <v>377</v>
      </c>
      <c r="H251">
        <v>0.69444444444444442</v>
      </c>
      <c r="I251">
        <v>0.69444444444444442</v>
      </c>
      <c r="J251">
        <v>0.69444444444444442</v>
      </c>
    </row>
    <row r="252" spans="1:10" x14ac:dyDescent="0.2">
      <c r="A252" t="s">
        <v>375</v>
      </c>
      <c r="B252" t="s">
        <v>378</v>
      </c>
      <c r="C252" t="s">
        <v>12</v>
      </c>
      <c r="D252" t="s">
        <v>13</v>
      </c>
      <c r="E252" s="4">
        <v>35.75</v>
      </c>
      <c r="F252">
        <v>2344019</v>
      </c>
      <c r="G252" t="s">
        <v>379</v>
      </c>
      <c r="H252" s="4">
        <v>1.398601398601399</v>
      </c>
      <c r="I252" s="4">
        <v>1.398601398601399</v>
      </c>
      <c r="J252" s="4">
        <v>1.398601398601399</v>
      </c>
    </row>
    <row r="253" spans="1:10" x14ac:dyDescent="0.2">
      <c r="A253" t="s">
        <v>375</v>
      </c>
      <c r="B253" t="s">
        <v>380</v>
      </c>
      <c r="C253" t="s">
        <v>12</v>
      </c>
      <c r="D253" t="s">
        <v>13</v>
      </c>
      <c r="E253">
        <v>36.25</v>
      </c>
      <c r="F253">
        <v>2709355</v>
      </c>
      <c r="G253" t="s">
        <v>381</v>
      </c>
      <c r="H253">
        <v>0</v>
      </c>
      <c r="I253">
        <v>0</v>
      </c>
      <c r="J253">
        <v>0</v>
      </c>
    </row>
    <row r="254" spans="1:10" x14ac:dyDescent="0.2">
      <c r="A254" t="s">
        <v>375</v>
      </c>
      <c r="B254" t="s">
        <v>382</v>
      </c>
      <c r="C254" t="s">
        <v>12</v>
      </c>
      <c r="D254" t="s">
        <v>13</v>
      </c>
      <c r="E254" s="5">
        <v>36.5</v>
      </c>
      <c r="F254">
        <v>800566</v>
      </c>
      <c r="G254" t="s">
        <v>383</v>
      </c>
      <c r="H254">
        <v>0</v>
      </c>
      <c r="I254">
        <v>-0.68493150684931503</v>
      </c>
      <c r="J254">
        <v>-0.68493150684931503</v>
      </c>
    </row>
    <row r="255" spans="1:10" x14ac:dyDescent="0.2">
      <c r="A255" t="s">
        <v>375</v>
      </c>
      <c r="B255" t="s">
        <v>382</v>
      </c>
      <c r="C255" t="s">
        <v>12</v>
      </c>
      <c r="D255" t="s">
        <v>35</v>
      </c>
      <c r="E255">
        <v>36.5</v>
      </c>
      <c r="F255">
        <v>800566</v>
      </c>
      <c r="G255" t="s">
        <v>312</v>
      </c>
      <c r="H255">
        <v>0</v>
      </c>
      <c r="I255">
        <v>-0.68493150684931503</v>
      </c>
      <c r="J255">
        <v>-0.68493150684931503</v>
      </c>
    </row>
    <row r="256" spans="1:10" x14ac:dyDescent="0.2">
      <c r="A256" t="s">
        <v>375</v>
      </c>
      <c r="B256" t="s">
        <v>384</v>
      </c>
      <c r="C256" t="s">
        <v>12</v>
      </c>
      <c r="D256" t="s">
        <v>13</v>
      </c>
      <c r="E256" s="4">
        <v>36.25</v>
      </c>
      <c r="F256">
        <v>1323248</v>
      </c>
      <c r="G256" t="s">
        <v>385</v>
      </c>
      <c r="H256">
        <v>0.68965517241379315</v>
      </c>
      <c r="I256">
        <v>0.68965517241379315</v>
      </c>
      <c r="J256">
        <v>0.68965517241379315</v>
      </c>
    </row>
    <row r="257" spans="1:10" x14ac:dyDescent="0.2">
      <c r="A257" t="s">
        <v>375</v>
      </c>
      <c r="B257" t="s">
        <v>386</v>
      </c>
      <c r="C257" t="s">
        <v>12</v>
      </c>
      <c r="D257" t="s">
        <v>13</v>
      </c>
      <c r="E257">
        <v>36.5</v>
      </c>
      <c r="F257">
        <v>1018333</v>
      </c>
      <c r="G257" t="s">
        <v>387</v>
      </c>
      <c r="H257">
        <v>0</v>
      </c>
      <c r="I257">
        <v>-0.68493150684931503</v>
      </c>
      <c r="J257">
        <v>-0.68493150684931503</v>
      </c>
    </row>
    <row r="258" spans="1:10" x14ac:dyDescent="0.2">
      <c r="A258" t="s">
        <v>375</v>
      </c>
      <c r="B258" t="s">
        <v>388</v>
      </c>
      <c r="C258" t="s">
        <v>12</v>
      </c>
      <c r="D258" t="s">
        <v>35</v>
      </c>
      <c r="E258">
        <v>36.25</v>
      </c>
      <c r="F258">
        <v>520172</v>
      </c>
      <c r="G258" t="s">
        <v>109</v>
      </c>
      <c r="H258">
        <v>0.68965517241379315</v>
      </c>
      <c r="I258">
        <v>-0.68965517241379315</v>
      </c>
      <c r="J258">
        <v>0</v>
      </c>
    </row>
    <row r="259" spans="1:10" x14ac:dyDescent="0.2">
      <c r="A259" t="s">
        <v>375</v>
      </c>
      <c r="B259" t="s">
        <v>389</v>
      </c>
      <c r="C259" t="s">
        <v>12</v>
      </c>
      <c r="D259" t="s">
        <v>13</v>
      </c>
      <c r="E259" s="5">
        <v>36.75</v>
      </c>
      <c r="F259">
        <v>3705141</v>
      </c>
      <c r="G259" t="s">
        <v>390</v>
      </c>
      <c r="H259">
        <v>-1.360544217687075</v>
      </c>
      <c r="I259">
        <v>-1.360544217687075</v>
      </c>
      <c r="J259">
        <v>-1.360544217687075</v>
      </c>
    </row>
    <row r="260" spans="1:10" x14ac:dyDescent="0.2">
      <c r="A260" s="3" t="s">
        <v>375</v>
      </c>
      <c r="B260" s="3" t="s">
        <v>389</v>
      </c>
      <c r="C260" s="3" t="s">
        <v>12</v>
      </c>
      <c r="D260" s="3" t="s">
        <v>35</v>
      </c>
      <c r="E260" s="3">
        <v>36.75</v>
      </c>
      <c r="F260" s="3">
        <v>3705141</v>
      </c>
      <c r="G260" s="3" t="s">
        <v>391</v>
      </c>
      <c r="H260" s="3">
        <v>-1.360544217687075</v>
      </c>
      <c r="I260" s="3">
        <v>-1.360544217687075</v>
      </c>
      <c r="J260" s="3">
        <v>-1.360544217687075</v>
      </c>
    </row>
    <row r="261" spans="1:10" x14ac:dyDescent="0.2">
      <c r="A261" t="s">
        <v>392</v>
      </c>
      <c r="B261" t="s">
        <v>393</v>
      </c>
      <c r="C261" t="s">
        <v>12</v>
      </c>
      <c r="D261" t="s">
        <v>35</v>
      </c>
      <c r="E261" s="4">
        <v>35.25</v>
      </c>
      <c r="F261">
        <v>0</v>
      </c>
      <c r="G261" t="s">
        <v>394</v>
      </c>
      <c r="H261" s="4">
        <v>0.70921985815602839</v>
      </c>
      <c r="I261" s="4">
        <v>1.418439716312057</v>
      </c>
      <c r="J261" s="4">
        <v>1.418439716312057</v>
      </c>
    </row>
    <row r="262" spans="1:10" x14ac:dyDescent="0.2">
      <c r="A262" t="s">
        <v>392</v>
      </c>
      <c r="B262" t="s">
        <v>395</v>
      </c>
      <c r="C262" t="s">
        <v>12</v>
      </c>
      <c r="D262" t="s">
        <v>13</v>
      </c>
      <c r="E262">
        <v>35.25</v>
      </c>
      <c r="F262">
        <v>3859766</v>
      </c>
      <c r="G262" t="s">
        <v>396</v>
      </c>
      <c r="H262">
        <v>0.70921985815602839</v>
      </c>
      <c r="I262">
        <v>0.70921985815602839</v>
      </c>
      <c r="J262">
        <v>1.418439716312057</v>
      </c>
    </row>
    <row r="263" spans="1:10" x14ac:dyDescent="0.2">
      <c r="A263" t="s">
        <v>392</v>
      </c>
      <c r="B263" t="s">
        <v>395</v>
      </c>
      <c r="C263" t="s">
        <v>12</v>
      </c>
      <c r="D263" t="s">
        <v>15</v>
      </c>
      <c r="E263">
        <v>35.25</v>
      </c>
      <c r="F263">
        <v>3859766</v>
      </c>
      <c r="G263" t="s">
        <v>16</v>
      </c>
      <c r="H263">
        <v>0.70921985815602839</v>
      </c>
      <c r="I263">
        <v>0.70921985815602839</v>
      </c>
      <c r="J263">
        <v>1.418439716312057</v>
      </c>
    </row>
    <row r="264" spans="1:10" x14ac:dyDescent="0.2">
      <c r="A264" t="s">
        <v>392</v>
      </c>
      <c r="B264" t="s">
        <v>397</v>
      </c>
      <c r="C264" t="s">
        <v>12</v>
      </c>
      <c r="D264" t="s">
        <v>13</v>
      </c>
      <c r="E264" s="4">
        <v>36</v>
      </c>
      <c r="F264">
        <v>2944092</v>
      </c>
      <c r="G264" t="s">
        <v>398</v>
      </c>
      <c r="H264">
        <v>0.69444444444444442</v>
      </c>
      <c r="I264">
        <v>0.69444444444444442</v>
      </c>
      <c r="J264">
        <v>1.3888888888888891</v>
      </c>
    </row>
    <row r="265" spans="1:10" x14ac:dyDescent="0.2">
      <c r="A265" t="s">
        <v>392</v>
      </c>
      <c r="B265" t="s">
        <v>397</v>
      </c>
      <c r="C265" t="s">
        <v>12</v>
      </c>
      <c r="D265" t="s">
        <v>35</v>
      </c>
      <c r="E265">
        <v>36</v>
      </c>
      <c r="F265">
        <v>2944092</v>
      </c>
      <c r="G265" t="s">
        <v>312</v>
      </c>
      <c r="H265">
        <v>0.69444444444444442</v>
      </c>
      <c r="I265">
        <v>0.69444444444444442</v>
      </c>
      <c r="J265">
        <v>1.3888888888888891</v>
      </c>
    </row>
    <row r="266" spans="1:10" x14ac:dyDescent="0.2">
      <c r="A266" t="s">
        <v>392</v>
      </c>
      <c r="B266" t="s">
        <v>397</v>
      </c>
      <c r="C266" t="s">
        <v>12</v>
      </c>
      <c r="D266" t="s">
        <v>15</v>
      </c>
      <c r="E266">
        <v>36</v>
      </c>
      <c r="F266">
        <v>2944092</v>
      </c>
      <c r="G266" t="s">
        <v>16</v>
      </c>
      <c r="H266">
        <v>0.69444444444444442</v>
      </c>
      <c r="I266">
        <v>0.69444444444444442</v>
      </c>
      <c r="J266">
        <v>1.3888888888888891</v>
      </c>
    </row>
    <row r="267" spans="1:10" x14ac:dyDescent="0.2">
      <c r="A267" t="s">
        <v>392</v>
      </c>
      <c r="B267" t="s">
        <v>399</v>
      </c>
      <c r="C267" t="s">
        <v>12</v>
      </c>
      <c r="D267" t="s">
        <v>13</v>
      </c>
      <c r="E267" s="4">
        <v>36.25</v>
      </c>
      <c r="F267">
        <v>2100513</v>
      </c>
      <c r="G267" t="s">
        <v>400</v>
      </c>
      <c r="H267">
        <v>0.68965517241379315</v>
      </c>
      <c r="I267">
        <v>0.68965517241379315</v>
      </c>
      <c r="J267">
        <v>0.68965517241379315</v>
      </c>
    </row>
    <row r="268" spans="1:10" x14ac:dyDescent="0.2">
      <c r="A268" t="s">
        <v>392</v>
      </c>
      <c r="B268" t="s">
        <v>399</v>
      </c>
      <c r="C268" t="s">
        <v>12</v>
      </c>
      <c r="D268" t="s">
        <v>15</v>
      </c>
      <c r="E268">
        <v>36.25</v>
      </c>
      <c r="F268">
        <v>2100513</v>
      </c>
      <c r="G268" t="s">
        <v>16</v>
      </c>
      <c r="H268">
        <v>0.68965517241379315</v>
      </c>
      <c r="I268">
        <v>0.68965517241379315</v>
      </c>
      <c r="J268">
        <v>0.68965517241379315</v>
      </c>
    </row>
    <row r="269" spans="1:10" x14ac:dyDescent="0.2">
      <c r="A269" t="s">
        <v>392</v>
      </c>
      <c r="B269" t="s">
        <v>401</v>
      </c>
      <c r="C269" t="s">
        <v>12</v>
      </c>
      <c r="D269" t="s">
        <v>13</v>
      </c>
      <c r="E269">
        <v>36.5</v>
      </c>
      <c r="F269">
        <v>1293048</v>
      </c>
      <c r="G269" t="s">
        <v>402</v>
      </c>
      <c r="H269">
        <v>-0.68493150684931503</v>
      </c>
      <c r="I269">
        <v>0</v>
      </c>
      <c r="J269">
        <v>0</v>
      </c>
    </row>
    <row r="270" spans="1:10" x14ac:dyDescent="0.2">
      <c r="A270" t="s">
        <v>392</v>
      </c>
      <c r="B270" t="s">
        <v>403</v>
      </c>
      <c r="C270" t="s">
        <v>12</v>
      </c>
      <c r="D270" t="s">
        <v>13</v>
      </c>
      <c r="E270" s="5">
        <v>36.5</v>
      </c>
      <c r="F270">
        <v>140208</v>
      </c>
      <c r="G270" t="s">
        <v>404</v>
      </c>
      <c r="H270">
        <v>-1.3698630136986301</v>
      </c>
      <c r="I270">
        <v>-0.68493150684931503</v>
      </c>
      <c r="J270">
        <v>-0.68493150684931503</v>
      </c>
    </row>
    <row r="271" spans="1:10" x14ac:dyDescent="0.2">
      <c r="A271" t="s">
        <v>392</v>
      </c>
      <c r="B271" t="s">
        <v>403</v>
      </c>
      <c r="C271" t="s">
        <v>12</v>
      </c>
      <c r="D271" t="s">
        <v>15</v>
      </c>
      <c r="E271">
        <v>36.5</v>
      </c>
      <c r="F271">
        <v>140208</v>
      </c>
      <c r="G271" t="s">
        <v>16</v>
      </c>
      <c r="H271">
        <v>-1.3698630136986301</v>
      </c>
      <c r="I271">
        <v>-0.68493150684931503</v>
      </c>
      <c r="J271">
        <v>-0.68493150684931503</v>
      </c>
    </row>
    <row r="272" spans="1:10" x14ac:dyDescent="0.2">
      <c r="A272" t="s">
        <v>392</v>
      </c>
      <c r="B272" t="s">
        <v>405</v>
      </c>
      <c r="C272" t="s">
        <v>12</v>
      </c>
      <c r="D272" t="s">
        <v>13</v>
      </c>
      <c r="E272">
        <v>36.25</v>
      </c>
      <c r="F272">
        <v>534600</v>
      </c>
      <c r="G272" t="s">
        <v>406</v>
      </c>
      <c r="H272">
        <v>0</v>
      </c>
      <c r="I272">
        <v>0</v>
      </c>
      <c r="J272">
        <v>0</v>
      </c>
    </row>
    <row r="273" spans="1:15" x14ac:dyDescent="0.2">
      <c r="A273" t="s">
        <v>392</v>
      </c>
      <c r="B273" t="s">
        <v>407</v>
      </c>
      <c r="C273" t="s">
        <v>12</v>
      </c>
      <c r="D273" t="s">
        <v>13</v>
      </c>
      <c r="E273" s="4">
        <v>36</v>
      </c>
      <c r="F273">
        <v>364602</v>
      </c>
      <c r="G273" t="s">
        <v>408</v>
      </c>
      <c r="H273">
        <v>0.69444444444444442</v>
      </c>
      <c r="I273">
        <v>0.69444444444444442</v>
      </c>
      <c r="J273">
        <v>0.69444444444444442</v>
      </c>
    </row>
    <row r="274" spans="1:15" x14ac:dyDescent="0.2">
      <c r="A274" s="3" t="s">
        <v>392</v>
      </c>
      <c r="B274" s="3" t="s">
        <v>407</v>
      </c>
      <c r="C274" s="3" t="s">
        <v>12</v>
      </c>
      <c r="D274" s="3" t="s">
        <v>35</v>
      </c>
      <c r="E274" s="3">
        <v>36</v>
      </c>
      <c r="F274" s="3">
        <v>364602</v>
      </c>
      <c r="G274" s="3" t="s">
        <v>109</v>
      </c>
      <c r="H274" s="3">
        <v>0.69444444444444442</v>
      </c>
      <c r="I274" s="3">
        <v>0.69444444444444442</v>
      </c>
      <c r="J274" s="3">
        <v>0.69444444444444442</v>
      </c>
    </row>
    <row r="275" spans="1:15" x14ac:dyDescent="0.2">
      <c r="A275" t="s">
        <v>409</v>
      </c>
      <c r="B275" t="s">
        <v>410</v>
      </c>
      <c r="C275" t="s">
        <v>12</v>
      </c>
      <c r="D275" t="s">
        <v>13</v>
      </c>
      <c r="E275" s="5">
        <v>36.25</v>
      </c>
      <c r="F275">
        <v>653755</v>
      </c>
      <c r="G275" t="s">
        <v>411</v>
      </c>
      <c r="H275">
        <v>-0.68965517241379315</v>
      </c>
      <c r="I275">
        <v>-0.68965517241379315</v>
      </c>
      <c r="J275">
        <v>0</v>
      </c>
    </row>
    <row r="276" spans="1:15" x14ac:dyDescent="0.2">
      <c r="A276" t="s">
        <v>409</v>
      </c>
      <c r="B276" t="s">
        <v>410</v>
      </c>
      <c r="C276" t="s">
        <v>12</v>
      </c>
      <c r="D276" t="s">
        <v>15</v>
      </c>
      <c r="E276">
        <v>36.25</v>
      </c>
      <c r="F276">
        <v>653755</v>
      </c>
      <c r="G276" t="s">
        <v>16</v>
      </c>
      <c r="H276">
        <v>-0.68965517241379315</v>
      </c>
      <c r="I276">
        <v>-0.68965517241379315</v>
      </c>
      <c r="J276">
        <v>0</v>
      </c>
    </row>
    <row r="277" spans="1:15" x14ac:dyDescent="0.2">
      <c r="A277" t="s">
        <v>409</v>
      </c>
      <c r="B277" t="s">
        <v>412</v>
      </c>
      <c r="C277" t="s">
        <v>12</v>
      </c>
      <c r="D277" t="s">
        <v>13</v>
      </c>
      <c r="E277">
        <v>36.25</v>
      </c>
      <c r="F277">
        <v>795800</v>
      </c>
      <c r="G277" t="s">
        <v>413</v>
      </c>
      <c r="H277">
        <v>-0.68965517241379315</v>
      </c>
      <c r="I277">
        <v>0</v>
      </c>
      <c r="J277">
        <v>-0.68965517241379315</v>
      </c>
    </row>
    <row r="278" spans="1:15" x14ac:dyDescent="0.2">
      <c r="A278" t="s">
        <v>409</v>
      </c>
      <c r="B278" t="s">
        <v>412</v>
      </c>
      <c r="C278" t="s">
        <v>12</v>
      </c>
      <c r="D278" t="s">
        <v>15</v>
      </c>
      <c r="E278">
        <v>36.25</v>
      </c>
      <c r="F278">
        <v>795800</v>
      </c>
      <c r="G278" t="s">
        <v>16</v>
      </c>
      <c r="H278">
        <v>-0.68965517241379315</v>
      </c>
      <c r="I278">
        <v>0</v>
      </c>
      <c r="J278">
        <v>-0.68965517241379315</v>
      </c>
    </row>
    <row r="279" spans="1:15" x14ac:dyDescent="0.2">
      <c r="A279" t="s">
        <v>409</v>
      </c>
      <c r="B279" t="s">
        <v>414</v>
      </c>
      <c r="C279" t="s">
        <v>12</v>
      </c>
      <c r="D279" t="s">
        <v>13</v>
      </c>
      <c r="E279">
        <v>36.25</v>
      </c>
      <c r="F279">
        <v>2218353</v>
      </c>
      <c r="G279" t="s">
        <v>415</v>
      </c>
      <c r="H279">
        <v>0</v>
      </c>
      <c r="I279">
        <v>-0.68965517241379315</v>
      </c>
      <c r="J279">
        <v>-0.68965517241379315</v>
      </c>
    </row>
    <row r="280" spans="1:15" x14ac:dyDescent="0.2">
      <c r="A280" s="3" t="s">
        <v>409</v>
      </c>
      <c r="B280" s="3" t="s">
        <v>416</v>
      </c>
      <c r="C280" s="3" t="s">
        <v>12</v>
      </c>
      <c r="D280" s="3" t="s">
        <v>13</v>
      </c>
      <c r="E280" s="11">
        <v>36</v>
      </c>
      <c r="F280" s="3">
        <v>71108</v>
      </c>
      <c r="G280" s="3" t="s">
        <v>417</v>
      </c>
      <c r="H280" s="11">
        <v>0.69444444444444442</v>
      </c>
      <c r="I280" s="11">
        <v>0.69444444444444442</v>
      </c>
      <c r="J280" s="11">
        <v>1.3888888888888891</v>
      </c>
      <c r="L280" s="9"/>
      <c r="M280" s="6"/>
      <c r="N280" s="9"/>
      <c r="O280" s="10" t="e">
        <f>((M281-M280)/M280)</f>
        <v>#DIV/0!</v>
      </c>
    </row>
    <row r="281" spans="1:15" x14ac:dyDescent="0.2">
      <c r="A281" t="s">
        <v>418</v>
      </c>
      <c r="B281" t="s">
        <v>419</v>
      </c>
      <c r="C281" t="s">
        <v>12</v>
      </c>
      <c r="D281" t="s">
        <v>13</v>
      </c>
      <c r="E281">
        <v>36.25</v>
      </c>
      <c r="F281">
        <v>722856</v>
      </c>
      <c r="G281" t="s">
        <v>420</v>
      </c>
      <c r="H281">
        <v>0</v>
      </c>
      <c r="I281">
        <v>0.68965517241379315</v>
      </c>
      <c r="J281">
        <v>0.68965517241379315</v>
      </c>
      <c r="L281" s="9"/>
      <c r="M281" s="6"/>
      <c r="N281" s="9"/>
    </row>
    <row r="282" spans="1:15" x14ac:dyDescent="0.2">
      <c r="A282" t="s">
        <v>418</v>
      </c>
      <c r="B282" t="s">
        <v>419</v>
      </c>
      <c r="C282" t="s">
        <v>12</v>
      </c>
      <c r="D282" t="s">
        <v>15</v>
      </c>
      <c r="E282" s="4">
        <v>36.25</v>
      </c>
      <c r="F282">
        <v>722856</v>
      </c>
      <c r="G282" t="s">
        <v>16</v>
      </c>
      <c r="H282">
        <v>0</v>
      </c>
      <c r="I282">
        <v>0.68965517241379315</v>
      </c>
      <c r="J282">
        <v>0.68965517241379315</v>
      </c>
    </row>
    <row r="283" spans="1:15" x14ac:dyDescent="0.2">
      <c r="A283" t="s">
        <v>418</v>
      </c>
      <c r="B283" t="s">
        <v>421</v>
      </c>
      <c r="C283" t="s">
        <v>12</v>
      </c>
      <c r="D283" t="s">
        <v>13</v>
      </c>
      <c r="E283">
        <v>36.5</v>
      </c>
      <c r="F283">
        <v>1899810</v>
      </c>
      <c r="G283" t="s">
        <v>422</v>
      </c>
      <c r="H283">
        <v>0</v>
      </c>
      <c r="I283">
        <v>0</v>
      </c>
      <c r="J283">
        <v>0.68493150684931503</v>
      </c>
    </row>
    <row r="284" spans="1:15" x14ac:dyDescent="0.2">
      <c r="A284" t="s">
        <v>418</v>
      </c>
      <c r="B284" t="s">
        <v>423</v>
      </c>
      <c r="C284" t="s">
        <v>12</v>
      </c>
      <c r="D284" t="s">
        <v>13</v>
      </c>
      <c r="E284" s="4">
        <v>36.5</v>
      </c>
      <c r="F284">
        <v>969788</v>
      </c>
      <c r="G284" t="s">
        <v>424</v>
      </c>
      <c r="H284">
        <v>0.68493150684931503</v>
      </c>
      <c r="I284">
        <v>0.68493150684931503</v>
      </c>
      <c r="J284">
        <v>1.3698630136986301</v>
      </c>
    </row>
    <row r="285" spans="1:15" x14ac:dyDescent="0.2">
      <c r="A285" t="s">
        <v>418</v>
      </c>
      <c r="B285" t="s">
        <v>423</v>
      </c>
      <c r="C285" t="s">
        <v>12</v>
      </c>
      <c r="D285" t="s">
        <v>15</v>
      </c>
      <c r="E285">
        <v>36.5</v>
      </c>
      <c r="F285">
        <v>969788</v>
      </c>
      <c r="G285" t="s">
        <v>16</v>
      </c>
      <c r="H285">
        <v>0.68493150684931503</v>
      </c>
      <c r="I285">
        <v>0.68493150684931503</v>
      </c>
      <c r="J285">
        <v>1.3698630136986301</v>
      </c>
    </row>
    <row r="286" spans="1:15" x14ac:dyDescent="0.2">
      <c r="A286" t="s">
        <v>418</v>
      </c>
      <c r="B286" t="s">
        <v>425</v>
      </c>
      <c r="C286" t="s">
        <v>12</v>
      </c>
      <c r="D286" t="s">
        <v>13</v>
      </c>
      <c r="E286" s="4">
        <v>36.75</v>
      </c>
      <c r="F286">
        <v>2181100</v>
      </c>
      <c r="G286" t="s">
        <v>426</v>
      </c>
      <c r="H286">
        <v>0</v>
      </c>
      <c r="I286">
        <v>0</v>
      </c>
      <c r="J286">
        <v>0.68027210884353739</v>
      </c>
    </row>
    <row r="287" spans="1:15" x14ac:dyDescent="0.2">
      <c r="A287" t="s">
        <v>418</v>
      </c>
      <c r="B287" t="s">
        <v>425</v>
      </c>
      <c r="C287" t="s">
        <v>12</v>
      </c>
      <c r="D287" t="s">
        <v>15</v>
      </c>
      <c r="E287">
        <v>36.75</v>
      </c>
      <c r="F287">
        <v>2181100</v>
      </c>
      <c r="G287" t="s">
        <v>16</v>
      </c>
      <c r="H287">
        <v>0</v>
      </c>
      <c r="I287">
        <v>0</v>
      </c>
      <c r="J287">
        <v>0.68027210884353739</v>
      </c>
    </row>
    <row r="288" spans="1:15" x14ac:dyDescent="0.2">
      <c r="A288" t="s">
        <v>418</v>
      </c>
      <c r="B288" t="s">
        <v>427</v>
      </c>
      <c r="C288" t="s">
        <v>12</v>
      </c>
      <c r="D288" t="s">
        <v>13</v>
      </c>
      <c r="E288">
        <v>36.75</v>
      </c>
      <c r="F288">
        <v>989455</v>
      </c>
      <c r="G288" t="s">
        <v>428</v>
      </c>
      <c r="H288">
        <v>0</v>
      </c>
      <c r="I288">
        <v>0</v>
      </c>
      <c r="J288">
        <v>0</v>
      </c>
    </row>
    <row r="289" spans="1:15" x14ac:dyDescent="0.2">
      <c r="A289" t="s">
        <v>418</v>
      </c>
      <c r="B289" t="s">
        <v>429</v>
      </c>
      <c r="C289" t="s">
        <v>12</v>
      </c>
      <c r="D289" t="s">
        <v>13</v>
      </c>
      <c r="E289" s="4">
        <v>36.75</v>
      </c>
      <c r="F289">
        <v>1584200</v>
      </c>
      <c r="G289" t="s">
        <v>430</v>
      </c>
      <c r="H289">
        <v>0</v>
      </c>
      <c r="I289">
        <v>0</v>
      </c>
      <c r="J289">
        <v>4.7619047619047619</v>
      </c>
    </row>
    <row r="290" spans="1:15" x14ac:dyDescent="0.2">
      <c r="A290" s="3" t="s">
        <v>418</v>
      </c>
      <c r="B290" s="3" t="s">
        <v>429</v>
      </c>
      <c r="C290" s="3" t="s">
        <v>12</v>
      </c>
      <c r="D290" s="3" t="s">
        <v>15</v>
      </c>
      <c r="E290" s="3">
        <v>36.75</v>
      </c>
      <c r="F290" s="3">
        <v>1584200</v>
      </c>
      <c r="G290" s="3" t="s">
        <v>16</v>
      </c>
      <c r="H290" s="3">
        <v>0</v>
      </c>
      <c r="I290" s="3">
        <v>0</v>
      </c>
      <c r="J290" s="3">
        <v>4.7619047619047619</v>
      </c>
    </row>
    <row r="291" spans="1:15" x14ac:dyDescent="0.2">
      <c r="A291" t="s">
        <v>431</v>
      </c>
      <c r="B291" t="s">
        <v>432</v>
      </c>
      <c r="C291" t="s">
        <v>12</v>
      </c>
      <c r="D291" t="s">
        <v>35</v>
      </c>
      <c r="E291" s="4">
        <v>37.75</v>
      </c>
      <c r="F291">
        <v>0</v>
      </c>
      <c r="G291" t="s">
        <v>433</v>
      </c>
      <c r="H291">
        <v>1.9867549668874169</v>
      </c>
      <c r="I291">
        <v>2.6490066225165561</v>
      </c>
      <c r="J291">
        <v>1.324503311258278</v>
      </c>
    </row>
    <row r="292" spans="1:15" x14ac:dyDescent="0.2">
      <c r="A292" t="s">
        <v>431</v>
      </c>
      <c r="B292" t="s">
        <v>434</v>
      </c>
      <c r="C292" t="s">
        <v>12</v>
      </c>
      <c r="D292" t="s">
        <v>13</v>
      </c>
      <c r="E292">
        <v>38.25</v>
      </c>
      <c r="F292">
        <v>7668794</v>
      </c>
      <c r="G292" t="s">
        <v>435</v>
      </c>
      <c r="H292">
        <v>0.65359477124183007</v>
      </c>
      <c r="I292">
        <v>0.65359477124183007</v>
      </c>
      <c r="J292">
        <v>0</v>
      </c>
    </row>
    <row r="293" spans="1:15" x14ac:dyDescent="0.2">
      <c r="A293" t="s">
        <v>431</v>
      </c>
      <c r="B293" t="s">
        <v>434</v>
      </c>
      <c r="C293" t="s">
        <v>12</v>
      </c>
      <c r="D293" t="s">
        <v>35</v>
      </c>
      <c r="E293" s="4">
        <v>38.25</v>
      </c>
      <c r="F293">
        <v>7668794</v>
      </c>
      <c r="G293" t="s">
        <v>152</v>
      </c>
      <c r="H293">
        <v>0.65359477124183007</v>
      </c>
      <c r="I293">
        <v>0.65359477124183007</v>
      </c>
      <c r="J293">
        <v>0</v>
      </c>
    </row>
    <row r="294" spans="1:15" x14ac:dyDescent="0.2">
      <c r="A294" t="s">
        <v>431</v>
      </c>
      <c r="B294" t="s">
        <v>436</v>
      </c>
      <c r="C294" t="s">
        <v>12</v>
      </c>
      <c r="D294" t="s">
        <v>13</v>
      </c>
      <c r="E294">
        <v>38.5</v>
      </c>
      <c r="F294">
        <v>3176750</v>
      </c>
      <c r="G294" t="s">
        <v>437</v>
      </c>
      <c r="H294">
        <v>0</v>
      </c>
      <c r="I294">
        <v>-1.2987012987012989</v>
      </c>
      <c r="J294">
        <v>-1.948051948051948</v>
      </c>
    </row>
    <row r="295" spans="1:15" x14ac:dyDescent="0.2">
      <c r="A295" t="s">
        <v>431</v>
      </c>
      <c r="B295" t="s">
        <v>436</v>
      </c>
      <c r="C295" t="s">
        <v>12</v>
      </c>
      <c r="D295" t="s">
        <v>15</v>
      </c>
      <c r="E295" s="5">
        <v>38.5</v>
      </c>
      <c r="F295">
        <v>3176750</v>
      </c>
      <c r="G295" t="s">
        <v>16</v>
      </c>
      <c r="H295">
        <v>0</v>
      </c>
      <c r="I295">
        <v>-1.2987012987012989</v>
      </c>
      <c r="J295">
        <v>-1.948051948051948</v>
      </c>
    </row>
    <row r="296" spans="1:15" x14ac:dyDescent="0.2">
      <c r="A296" t="s">
        <v>431</v>
      </c>
      <c r="B296" t="s">
        <v>438</v>
      </c>
      <c r="C296" t="s">
        <v>12</v>
      </c>
      <c r="D296" t="s">
        <v>13</v>
      </c>
      <c r="E296">
        <v>38.5</v>
      </c>
      <c r="F296">
        <v>2813238</v>
      </c>
      <c r="G296" t="s">
        <v>439</v>
      </c>
      <c r="H296">
        <v>-1.2987012987012989</v>
      </c>
      <c r="I296">
        <v>-0.64935064935064934</v>
      </c>
      <c r="J296">
        <v>-1.2987012987012989</v>
      </c>
    </row>
    <row r="297" spans="1:15" x14ac:dyDescent="0.2">
      <c r="A297" t="s">
        <v>431</v>
      </c>
      <c r="B297" t="s">
        <v>440</v>
      </c>
      <c r="C297" t="s">
        <v>12</v>
      </c>
      <c r="D297" t="s">
        <v>13</v>
      </c>
      <c r="E297" s="4">
        <v>37.5</v>
      </c>
      <c r="F297">
        <v>1598800</v>
      </c>
      <c r="G297" t="s">
        <v>441</v>
      </c>
      <c r="H297">
        <v>0.66666666666666674</v>
      </c>
      <c r="I297">
        <v>0</v>
      </c>
      <c r="J297">
        <v>0.66666666666666674</v>
      </c>
    </row>
    <row r="298" spans="1:15" x14ac:dyDescent="0.2">
      <c r="A298" t="s">
        <v>431</v>
      </c>
      <c r="B298" t="s">
        <v>442</v>
      </c>
      <c r="C298" t="s">
        <v>12</v>
      </c>
      <c r="D298" t="s">
        <v>13</v>
      </c>
      <c r="E298">
        <v>37.5</v>
      </c>
      <c r="F298">
        <v>1060007</v>
      </c>
      <c r="G298" t="s">
        <v>443</v>
      </c>
      <c r="H298">
        <v>0</v>
      </c>
      <c r="I298">
        <v>0.66666666666666674</v>
      </c>
      <c r="J298">
        <v>0</v>
      </c>
    </row>
    <row r="299" spans="1:15" x14ac:dyDescent="0.2">
      <c r="A299" s="3" t="s">
        <v>431</v>
      </c>
      <c r="B299" s="3" t="s">
        <v>442</v>
      </c>
      <c r="C299" s="3" t="s">
        <v>12</v>
      </c>
      <c r="D299" s="3" t="s">
        <v>15</v>
      </c>
      <c r="E299" s="3">
        <v>37.5</v>
      </c>
      <c r="F299" s="3">
        <v>1060007</v>
      </c>
      <c r="G299" s="3" t="s">
        <v>16</v>
      </c>
      <c r="H299" s="3">
        <v>0</v>
      </c>
      <c r="I299" s="3">
        <v>0.66666666666666674</v>
      </c>
      <c r="J299" s="3">
        <v>0</v>
      </c>
    </row>
    <row r="300" spans="1:15" x14ac:dyDescent="0.2">
      <c r="A300" t="s">
        <v>444</v>
      </c>
      <c r="B300" t="s">
        <v>445</v>
      </c>
      <c r="C300" t="s">
        <v>12</v>
      </c>
      <c r="D300" t="s">
        <v>35</v>
      </c>
      <c r="E300" s="4">
        <v>37.25</v>
      </c>
      <c r="F300">
        <v>0</v>
      </c>
      <c r="G300" t="s">
        <v>152</v>
      </c>
      <c r="H300" s="4">
        <v>0.67114093959731547</v>
      </c>
      <c r="I300" s="4">
        <v>1.3422818791946309</v>
      </c>
      <c r="J300" s="4">
        <v>0.67114093959731547</v>
      </c>
      <c r="L300" s="9"/>
      <c r="M300" s="6"/>
      <c r="N300" s="9"/>
      <c r="O300" s="10" t="e">
        <f>((M301-M300)/M300)</f>
        <v>#DIV/0!</v>
      </c>
    </row>
    <row r="301" spans="1:15" x14ac:dyDescent="0.2">
      <c r="A301" t="s">
        <v>444</v>
      </c>
      <c r="B301" t="s">
        <v>446</v>
      </c>
      <c r="C301" t="s">
        <v>12</v>
      </c>
      <c r="D301" t="s">
        <v>13</v>
      </c>
      <c r="E301" s="4">
        <v>37.5</v>
      </c>
      <c r="F301">
        <v>811858</v>
      </c>
      <c r="G301" t="s">
        <v>447</v>
      </c>
      <c r="H301">
        <v>0.66666666666666674</v>
      </c>
      <c r="I301">
        <v>0.66666666666666674</v>
      </c>
      <c r="J301">
        <v>0.66666666666666674</v>
      </c>
      <c r="L301" s="9"/>
      <c r="M301" s="6"/>
      <c r="N301" s="9"/>
    </row>
    <row r="302" spans="1:15" x14ac:dyDescent="0.2">
      <c r="A302" t="s">
        <v>444</v>
      </c>
      <c r="B302" t="s">
        <v>448</v>
      </c>
      <c r="C302" t="s">
        <v>12</v>
      </c>
      <c r="D302" t="s">
        <v>13</v>
      </c>
      <c r="E302" s="4">
        <v>37.75</v>
      </c>
      <c r="F302">
        <v>906102</v>
      </c>
      <c r="G302" t="s">
        <v>449</v>
      </c>
      <c r="H302">
        <v>0</v>
      </c>
      <c r="I302">
        <v>0</v>
      </c>
      <c r="J302">
        <v>1.324503311258278</v>
      </c>
    </row>
    <row r="303" spans="1:15" x14ac:dyDescent="0.2">
      <c r="A303" t="s">
        <v>444</v>
      </c>
      <c r="B303" t="s">
        <v>450</v>
      </c>
      <c r="C303" t="s">
        <v>12</v>
      </c>
      <c r="D303" t="s">
        <v>13</v>
      </c>
      <c r="E303">
        <v>37.75</v>
      </c>
      <c r="F303">
        <v>870101</v>
      </c>
      <c r="G303" t="s">
        <v>451</v>
      </c>
      <c r="H303">
        <v>0</v>
      </c>
      <c r="I303">
        <v>1.324503311258278</v>
      </c>
      <c r="J303">
        <v>0.66225165562913912</v>
      </c>
    </row>
    <row r="304" spans="1:15" x14ac:dyDescent="0.2">
      <c r="A304" t="s">
        <v>444</v>
      </c>
      <c r="B304" t="s">
        <v>450</v>
      </c>
      <c r="C304" t="s">
        <v>12</v>
      </c>
      <c r="D304" t="s">
        <v>15</v>
      </c>
      <c r="E304">
        <v>37.75</v>
      </c>
      <c r="F304">
        <v>870101</v>
      </c>
      <c r="G304" t="s">
        <v>16</v>
      </c>
      <c r="H304">
        <v>0</v>
      </c>
      <c r="I304">
        <v>1.324503311258278</v>
      </c>
      <c r="J304">
        <v>0.66225165562913912</v>
      </c>
    </row>
    <row r="305" spans="1:10" x14ac:dyDescent="0.2">
      <c r="A305" t="s">
        <v>444</v>
      </c>
      <c r="B305" t="s">
        <v>452</v>
      </c>
      <c r="C305" t="s">
        <v>12</v>
      </c>
      <c r="D305" t="s">
        <v>13</v>
      </c>
      <c r="E305">
        <v>37.75</v>
      </c>
      <c r="F305">
        <v>1125248</v>
      </c>
      <c r="G305" t="s">
        <v>453</v>
      </c>
      <c r="H305">
        <v>1.324503311258278</v>
      </c>
      <c r="I305">
        <v>0.66225165562913912</v>
      </c>
      <c r="J305">
        <v>0.66225165562913912</v>
      </c>
    </row>
    <row r="306" spans="1:10" x14ac:dyDescent="0.2">
      <c r="A306" t="s">
        <v>444</v>
      </c>
      <c r="B306" t="s">
        <v>452</v>
      </c>
      <c r="C306" t="s">
        <v>12</v>
      </c>
      <c r="D306" t="s">
        <v>15</v>
      </c>
      <c r="E306">
        <v>37.75</v>
      </c>
      <c r="F306">
        <v>1125248</v>
      </c>
      <c r="G306" t="s">
        <v>16</v>
      </c>
      <c r="H306">
        <v>1.324503311258278</v>
      </c>
      <c r="I306">
        <v>0.66225165562913912</v>
      </c>
      <c r="J306">
        <v>0.66225165562913912</v>
      </c>
    </row>
    <row r="307" spans="1:10" x14ac:dyDescent="0.2">
      <c r="A307" t="s">
        <v>444</v>
      </c>
      <c r="B307" t="s">
        <v>454</v>
      </c>
      <c r="C307" t="s">
        <v>12</v>
      </c>
      <c r="D307" t="s">
        <v>13</v>
      </c>
      <c r="E307" s="5">
        <v>38.25</v>
      </c>
      <c r="F307">
        <v>2025462</v>
      </c>
      <c r="G307" t="s">
        <v>455</v>
      </c>
      <c r="H307">
        <v>-0.65359477124183007</v>
      </c>
      <c r="I307">
        <v>-0.65359477124183007</v>
      </c>
      <c r="J307">
        <v>-0.65359477124183007</v>
      </c>
    </row>
    <row r="308" spans="1:10" x14ac:dyDescent="0.2">
      <c r="A308" t="s">
        <v>444</v>
      </c>
      <c r="B308" t="s">
        <v>456</v>
      </c>
      <c r="C308" t="s">
        <v>12</v>
      </c>
      <c r="D308" t="s">
        <v>13</v>
      </c>
      <c r="E308">
        <v>38.25</v>
      </c>
      <c r="F308">
        <v>1324261</v>
      </c>
      <c r="G308" t="s">
        <v>457</v>
      </c>
      <c r="H308">
        <v>-0.65359477124183007</v>
      </c>
      <c r="I308">
        <v>-0.65359477124183007</v>
      </c>
      <c r="J308">
        <v>-0.65359477124183007</v>
      </c>
    </row>
    <row r="309" spans="1:10" x14ac:dyDescent="0.2">
      <c r="A309" t="s">
        <v>444</v>
      </c>
      <c r="B309" t="s">
        <v>456</v>
      </c>
      <c r="C309" t="s">
        <v>12</v>
      </c>
      <c r="D309" t="s">
        <v>15</v>
      </c>
      <c r="E309">
        <v>38.25</v>
      </c>
      <c r="F309">
        <v>1324261</v>
      </c>
      <c r="G309" t="s">
        <v>16</v>
      </c>
      <c r="H309">
        <v>-0.65359477124183007</v>
      </c>
      <c r="I309">
        <v>-0.65359477124183007</v>
      </c>
      <c r="J309">
        <v>-0.65359477124183007</v>
      </c>
    </row>
    <row r="310" spans="1:10" x14ac:dyDescent="0.2">
      <c r="A310" t="s">
        <v>444</v>
      </c>
      <c r="B310" t="s">
        <v>458</v>
      </c>
      <c r="C310" t="s">
        <v>12</v>
      </c>
      <c r="D310" t="s">
        <v>13</v>
      </c>
      <c r="E310" s="4">
        <v>38.25</v>
      </c>
      <c r="F310">
        <v>1924312</v>
      </c>
      <c r="G310" t="s">
        <v>459</v>
      </c>
      <c r="H310">
        <v>0</v>
      </c>
      <c r="I310">
        <v>0</v>
      </c>
      <c r="J310">
        <v>0.65359477124183007</v>
      </c>
    </row>
    <row r="311" spans="1:10" x14ac:dyDescent="0.2">
      <c r="A311" t="s">
        <v>444</v>
      </c>
      <c r="B311" t="s">
        <v>460</v>
      </c>
      <c r="C311" t="s">
        <v>12</v>
      </c>
      <c r="D311" t="s">
        <v>13</v>
      </c>
      <c r="E311">
        <v>38.5</v>
      </c>
      <c r="F311">
        <v>2762459</v>
      </c>
      <c r="G311" t="s">
        <v>461</v>
      </c>
      <c r="H311">
        <v>0</v>
      </c>
      <c r="I311">
        <v>0.64935064935064934</v>
      </c>
      <c r="J311">
        <v>0</v>
      </c>
    </row>
    <row r="312" spans="1:10" x14ac:dyDescent="0.2">
      <c r="A312" t="s">
        <v>444</v>
      </c>
      <c r="B312" t="s">
        <v>460</v>
      </c>
      <c r="C312" t="s">
        <v>12</v>
      </c>
      <c r="D312" t="s">
        <v>15</v>
      </c>
      <c r="E312" s="4">
        <v>38.5</v>
      </c>
      <c r="F312">
        <v>2762459</v>
      </c>
      <c r="G312" t="s">
        <v>16</v>
      </c>
      <c r="H312">
        <v>0</v>
      </c>
      <c r="I312">
        <v>0.64935064935064934</v>
      </c>
      <c r="J312">
        <v>0</v>
      </c>
    </row>
    <row r="313" spans="1:10" x14ac:dyDescent="0.2">
      <c r="A313" s="3" t="s">
        <v>444</v>
      </c>
      <c r="B313" s="3" t="s">
        <v>462</v>
      </c>
      <c r="C313" s="3" t="s">
        <v>12</v>
      </c>
      <c r="D313" s="3" t="s">
        <v>13</v>
      </c>
      <c r="E313" s="3">
        <v>38.25</v>
      </c>
      <c r="F313" s="3">
        <v>1441757</v>
      </c>
      <c r="G313" s="3" t="s">
        <v>463</v>
      </c>
      <c r="H313" s="3">
        <v>0</v>
      </c>
      <c r="I313" s="3">
        <v>0</v>
      </c>
      <c r="J313" s="3"/>
    </row>
    <row r="314" spans="1:10" x14ac:dyDescent="0.2">
      <c r="A314" t="s">
        <v>464</v>
      </c>
      <c r="B314" t="s">
        <v>465</v>
      </c>
      <c r="C314" t="s">
        <v>12</v>
      </c>
      <c r="D314" t="s">
        <v>13</v>
      </c>
      <c r="E314" s="5">
        <v>38.75</v>
      </c>
      <c r="F314">
        <v>1500250</v>
      </c>
      <c r="G314" t="s">
        <v>466</v>
      </c>
      <c r="H314">
        <v>-0.64516129032258063</v>
      </c>
      <c r="I314">
        <v>-0.64516129032258063</v>
      </c>
      <c r="J314">
        <v>-0.64516129032258063</v>
      </c>
    </row>
    <row r="315" spans="1:10" x14ac:dyDescent="0.2">
      <c r="A315" t="s">
        <v>464</v>
      </c>
      <c r="B315" t="s">
        <v>467</v>
      </c>
      <c r="C315" t="s">
        <v>12</v>
      </c>
      <c r="D315" t="s">
        <v>13</v>
      </c>
      <c r="E315" s="4">
        <v>38.25</v>
      </c>
      <c r="F315">
        <v>1152732</v>
      </c>
      <c r="G315" t="s">
        <v>468</v>
      </c>
      <c r="H315">
        <v>0</v>
      </c>
      <c r="I315">
        <v>0.65359477124183007</v>
      </c>
      <c r="J315">
        <v>0.65359477124183007</v>
      </c>
    </row>
    <row r="316" spans="1:10" x14ac:dyDescent="0.2">
      <c r="A316" t="s">
        <v>464</v>
      </c>
      <c r="B316" t="s">
        <v>469</v>
      </c>
      <c r="C316" t="s">
        <v>12</v>
      </c>
      <c r="D316" t="s">
        <v>13</v>
      </c>
      <c r="E316">
        <v>38.5</v>
      </c>
      <c r="F316">
        <v>409400</v>
      </c>
      <c r="G316" t="s">
        <v>470</v>
      </c>
      <c r="H316">
        <v>0</v>
      </c>
      <c r="I316">
        <v>-0.64935064935064934</v>
      </c>
      <c r="J316">
        <v>0</v>
      </c>
    </row>
    <row r="317" spans="1:10" x14ac:dyDescent="0.2">
      <c r="A317" t="s">
        <v>464</v>
      </c>
      <c r="B317" t="s">
        <v>469</v>
      </c>
      <c r="C317" t="s">
        <v>12</v>
      </c>
      <c r="D317" t="s">
        <v>15</v>
      </c>
      <c r="E317">
        <v>38.5</v>
      </c>
      <c r="F317">
        <v>409400</v>
      </c>
      <c r="G317" t="s">
        <v>16</v>
      </c>
      <c r="H317">
        <v>0</v>
      </c>
      <c r="I317">
        <v>-0.64935064935064934</v>
      </c>
      <c r="J317">
        <v>0</v>
      </c>
    </row>
    <row r="318" spans="1:10" x14ac:dyDescent="0.2">
      <c r="A318" t="s">
        <v>464</v>
      </c>
      <c r="B318" t="s">
        <v>471</v>
      </c>
      <c r="C318" t="s">
        <v>12</v>
      </c>
      <c r="D318" t="s">
        <v>13</v>
      </c>
      <c r="E318">
        <v>38.5</v>
      </c>
      <c r="F318">
        <v>7325819</v>
      </c>
      <c r="G318" t="s">
        <v>472</v>
      </c>
      <c r="H318">
        <v>-0.64935064935064934</v>
      </c>
      <c r="I318">
        <v>0</v>
      </c>
      <c r="J318">
        <v>0</v>
      </c>
    </row>
    <row r="319" spans="1:10" x14ac:dyDescent="0.2">
      <c r="A319" t="s">
        <v>464</v>
      </c>
      <c r="B319" t="s">
        <v>471</v>
      </c>
      <c r="C319" t="s">
        <v>12</v>
      </c>
      <c r="D319" t="s">
        <v>35</v>
      </c>
      <c r="E319">
        <v>38.5</v>
      </c>
      <c r="F319">
        <v>7325819</v>
      </c>
      <c r="G319" t="s">
        <v>312</v>
      </c>
      <c r="H319">
        <v>-0.64935064935064934</v>
      </c>
      <c r="I319">
        <v>0</v>
      </c>
      <c r="J319">
        <v>0</v>
      </c>
    </row>
    <row r="320" spans="1:10" x14ac:dyDescent="0.2">
      <c r="A320" t="s">
        <v>464</v>
      </c>
      <c r="B320" t="s">
        <v>471</v>
      </c>
      <c r="C320" t="s">
        <v>12</v>
      </c>
      <c r="D320" t="s">
        <v>15</v>
      </c>
      <c r="E320">
        <v>38.5</v>
      </c>
      <c r="F320">
        <v>7325819</v>
      </c>
      <c r="G320" t="s">
        <v>16</v>
      </c>
      <c r="H320">
        <v>-0.64935064935064934</v>
      </c>
      <c r="I320">
        <v>0</v>
      </c>
      <c r="J320">
        <v>0</v>
      </c>
    </row>
    <row r="321" spans="1:15" x14ac:dyDescent="0.2">
      <c r="A321" t="s">
        <v>464</v>
      </c>
      <c r="B321" t="s">
        <v>473</v>
      </c>
      <c r="C321" t="s">
        <v>12</v>
      </c>
      <c r="D321" t="s">
        <v>13</v>
      </c>
      <c r="E321" s="5">
        <v>38.25</v>
      </c>
      <c r="F321">
        <v>878822</v>
      </c>
      <c r="G321" t="s">
        <v>474</v>
      </c>
      <c r="H321">
        <v>-0.65359477124183007</v>
      </c>
      <c r="I321">
        <v>-1.3071895424836599</v>
      </c>
      <c r="J321">
        <v>0.65359477124183007</v>
      </c>
    </row>
    <row r="322" spans="1:15" x14ac:dyDescent="0.2">
      <c r="A322" t="s">
        <v>464</v>
      </c>
      <c r="B322" t="s">
        <v>473</v>
      </c>
      <c r="C322" t="s">
        <v>12</v>
      </c>
      <c r="D322" t="s">
        <v>15</v>
      </c>
      <c r="E322">
        <v>38.25</v>
      </c>
      <c r="F322">
        <v>878822</v>
      </c>
      <c r="G322" t="s">
        <v>16</v>
      </c>
      <c r="H322">
        <v>-0.65359477124183007</v>
      </c>
      <c r="I322">
        <v>-1.3071895424836599</v>
      </c>
      <c r="J322">
        <v>0.65359477124183007</v>
      </c>
    </row>
    <row r="323" spans="1:15" x14ac:dyDescent="0.2">
      <c r="A323" s="3" t="s">
        <v>464</v>
      </c>
      <c r="B323" s="3" t="s">
        <v>475</v>
      </c>
      <c r="C323" s="3" t="s">
        <v>12</v>
      </c>
      <c r="D323" s="3" t="s">
        <v>13</v>
      </c>
      <c r="E323" s="11">
        <v>37.75</v>
      </c>
      <c r="F323" s="3">
        <v>1641997</v>
      </c>
      <c r="G323" s="3" t="s">
        <v>476</v>
      </c>
      <c r="H323" s="11">
        <v>1.324503311258278</v>
      </c>
      <c r="I323" s="11">
        <v>1.9867549668874169</v>
      </c>
      <c r="J323" s="11">
        <v>1.324503311258278</v>
      </c>
      <c r="L323" s="9"/>
      <c r="M323" s="6"/>
      <c r="N323" s="9"/>
      <c r="O323" s="10" t="e">
        <f>((M324-M323)/M323)</f>
        <v>#DIV/0!</v>
      </c>
    </row>
    <row r="324" spans="1:15" x14ac:dyDescent="0.2">
      <c r="A324" t="s">
        <v>477</v>
      </c>
      <c r="B324" t="s">
        <v>478</v>
      </c>
      <c r="C324" t="s">
        <v>12</v>
      </c>
      <c r="D324" t="s">
        <v>13</v>
      </c>
      <c r="E324" s="5">
        <v>38.5</v>
      </c>
      <c r="F324">
        <v>2090337</v>
      </c>
      <c r="G324" t="s">
        <v>479</v>
      </c>
      <c r="H324">
        <v>0</v>
      </c>
      <c r="I324">
        <v>-0.64935064935064934</v>
      </c>
      <c r="J324">
        <v>-0.64935064935064934</v>
      </c>
      <c r="L324" s="9"/>
      <c r="M324" s="6"/>
      <c r="N324" s="9"/>
    </row>
    <row r="325" spans="1:15" x14ac:dyDescent="0.2">
      <c r="A325" t="s">
        <v>477</v>
      </c>
      <c r="B325" t="s">
        <v>480</v>
      </c>
      <c r="C325" t="s">
        <v>12</v>
      </c>
      <c r="D325" t="s">
        <v>13</v>
      </c>
      <c r="E325">
        <v>38.25</v>
      </c>
      <c r="F325">
        <v>1869700</v>
      </c>
      <c r="G325" t="s">
        <v>481</v>
      </c>
      <c r="H325">
        <v>0.65359477124183007</v>
      </c>
      <c r="I325">
        <v>0.65359477124183007</v>
      </c>
      <c r="J325">
        <v>0</v>
      </c>
    </row>
    <row r="326" spans="1:15" x14ac:dyDescent="0.2">
      <c r="A326" t="s">
        <v>477</v>
      </c>
      <c r="B326" t="s">
        <v>480</v>
      </c>
      <c r="C326" t="s">
        <v>12</v>
      </c>
      <c r="D326" t="s">
        <v>35</v>
      </c>
      <c r="E326" s="4">
        <v>38.25</v>
      </c>
      <c r="F326">
        <v>1869700</v>
      </c>
      <c r="G326" t="s">
        <v>312</v>
      </c>
      <c r="H326">
        <v>0.65359477124183007</v>
      </c>
      <c r="I326">
        <v>0.65359477124183007</v>
      </c>
      <c r="J326">
        <v>0</v>
      </c>
    </row>
    <row r="327" spans="1:15" x14ac:dyDescent="0.2">
      <c r="A327" t="s">
        <v>477</v>
      </c>
      <c r="B327" t="s">
        <v>482</v>
      </c>
      <c r="C327" t="s">
        <v>12</v>
      </c>
      <c r="D327" t="s">
        <v>13</v>
      </c>
      <c r="E327">
        <v>38.5</v>
      </c>
      <c r="F327">
        <v>1290596</v>
      </c>
      <c r="G327" t="s">
        <v>483</v>
      </c>
      <c r="H327">
        <v>0</v>
      </c>
      <c r="I327">
        <v>0</v>
      </c>
      <c r="J327">
        <v>0</v>
      </c>
    </row>
    <row r="328" spans="1:15" x14ac:dyDescent="0.2">
      <c r="A328" t="s">
        <v>477</v>
      </c>
      <c r="B328" t="s">
        <v>484</v>
      </c>
      <c r="C328" t="s">
        <v>12</v>
      </c>
      <c r="D328" t="s">
        <v>13</v>
      </c>
      <c r="E328">
        <v>38.5</v>
      </c>
      <c r="F328">
        <v>1130027</v>
      </c>
      <c r="G328" t="s">
        <v>485</v>
      </c>
      <c r="H328">
        <v>0</v>
      </c>
      <c r="I328">
        <v>0</v>
      </c>
      <c r="J328">
        <v>0</v>
      </c>
    </row>
    <row r="329" spans="1:15" x14ac:dyDescent="0.2">
      <c r="A329" t="s">
        <v>477</v>
      </c>
      <c r="B329" t="s">
        <v>484</v>
      </c>
      <c r="C329" t="s">
        <v>12</v>
      </c>
      <c r="D329" t="s">
        <v>15</v>
      </c>
      <c r="E329">
        <v>38.5</v>
      </c>
      <c r="F329">
        <v>1130027</v>
      </c>
      <c r="G329" t="s">
        <v>16</v>
      </c>
      <c r="H329">
        <v>0</v>
      </c>
      <c r="I329">
        <v>0</v>
      </c>
      <c r="J329">
        <v>0</v>
      </c>
    </row>
    <row r="330" spans="1:15" x14ac:dyDescent="0.2">
      <c r="A330" s="3" t="s">
        <v>477</v>
      </c>
      <c r="B330" s="3" t="s">
        <v>486</v>
      </c>
      <c r="C330" s="3" t="s">
        <v>12</v>
      </c>
      <c r="D330" s="3" t="s">
        <v>13</v>
      </c>
      <c r="E330" s="12">
        <v>38.25</v>
      </c>
      <c r="F330" s="3">
        <v>429409</v>
      </c>
      <c r="G330" s="3" t="s">
        <v>487</v>
      </c>
      <c r="H330" s="3">
        <v>0</v>
      </c>
      <c r="I330" s="3">
        <v>-0.65359477124183007</v>
      </c>
      <c r="J330" s="3">
        <v>-1.3071895424836599</v>
      </c>
    </row>
    <row r="331" spans="1:15" x14ac:dyDescent="0.2">
      <c r="A331" t="s">
        <v>488</v>
      </c>
      <c r="B331" t="s">
        <v>489</v>
      </c>
      <c r="C331" t="s">
        <v>12</v>
      </c>
      <c r="D331" t="s">
        <v>13</v>
      </c>
      <c r="E331">
        <v>38</v>
      </c>
      <c r="F331">
        <v>697813</v>
      </c>
      <c r="G331" t="s">
        <v>490</v>
      </c>
      <c r="H331">
        <v>0</v>
      </c>
      <c r="I331">
        <v>0.6578947368421052</v>
      </c>
      <c r="J331">
        <v>-0.6578947368421052</v>
      </c>
    </row>
    <row r="332" spans="1:15" x14ac:dyDescent="0.2">
      <c r="A332" t="s">
        <v>488</v>
      </c>
      <c r="B332" t="s">
        <v>491</v>
      </c>
      <c r="C332" t="s">
        <v>12</v>
      </c>
      <c r="D332" t="s">
        <v>13</v>
      </c>
      <c r="E332">
        <v>38.25</v>
      </c>
      <c r="F332">
        <v>2016806</v>
      </c>
      <c r="G332" t="s">
        <v>492</v>
      </c>
      <c r="H332">
        <v>0</v>
      </c>
      <c r="I332">
        <v>-1.3071895424836599</v>
      </c>
      <c r="J332">
        <v>-0.65359477124183007</v>
      </c>
    </row>
    <row r="333" spans="1:15" x14ac:dyDescent="0.2">
      <c r="A333" t="s">
        <v>488</v>
      </c>
      <c r="B333" t="s">
        <v>491</v>
      </c>
      <c r="C333" t="s">
        <v>12</v>
      </c>
      <c r="D333" t="s">
        <v>15</v>
      </c>
      <c r="E333">
        <v>38.25</v>
      </c>
      <c r="F333">
        <v>2016806</v>
      </c>
      <c r="G333" t="s">
        <v>16</v>
      </c>
      <c r="H333">
        <v>0</v>
      </c>
      <c r="I333">
        <v>-1.3071895424836599</v>
      </c>
      <c r="J333">
        <v>-0.65359477124183007</v>
      </c>
    </row>
    <row r="334" spans="1:15" x14ac:dyDescent="0.2">
      <c r="A334" t="s">
        <v>488</v>
      </c>
      <c r="B334" t="s">
        <v>493</v>
      </c>
      <c r="C334" t="s">
        <v>12</v>
      </c>
      <c r="D334" t="s">
        <v>13</v>
      </c>
      <c r="E334">
        <v>38</v>
      </c>
      <c r="F334">
        <v>994333</v>
      </c>
      <c r="G334" t="s">
        <v>494</v>
      </c>
      <c r="H334">
        <v>0.6578947368421052</v>
      </c>
      <c r="I334">
        <v>0</v>
      </c>
      <c r="J334">
        <v>-0.6578947368421052</v>
      </c>
    </row>
    <row r="335" spans="1:15" x14ac:dyDescent="0.2">
      <c r="A335" t="s">
        <v>488</v>
      </c>
      <c r="B335" t="s">
        <v>495</v>
      </c>
      <c r="C335" t="s">
        <v>12</v>
      </c>
      <c r="D335" t="s">
        <v>13</v>
      </c>
      <c r="E335" s="5">
        <v>37.75</v>
      </c>
      <c r="F335">
        <v>1762000</v>
      </c>
      <c r="G335" t="s">
        <v>496</v>
      </c>
      <c r="H335">
        <v>-0.66225165562913912</v>
      </c>
      <c r="I335">
        <v>0</v>
      </c>
      <c r="J335">
        <v>0</v>
      </c>
    </row>
    <row r="336" spans="1:15" x14ac:dyDescent="0.2">
      <c r="A336" t="s">
        <v>488</v>
      </c>
      <c r="B336" t="s">
        <v>495</v>
      </c>
      <c r="C336" t="s">
        <v>12</v>
      </c>
      <c r="D336" t="s">
        <v>15</v>
      </c>
      <c r="E336">
        <v>37.75</v>
      </c>
      <c r="F336">
        <v>1762000</v>
      </c>
      <c r="G336" t="s">
        <v>16</v>
      </c>
      <c r="H336">
        <v>-0.66225165562913912</v>
      </c>
      <c r="I336">
        <v>0</v>
      </c>
      <c r="J336">
        <v>0</v>
      </c>
    </row>
    <row r="337" spans="1:15" x14ac:dyDescent="0.2">
      <c r="A337" t="s">
        <v>488</v>
      </c>
      <c r="B337" t="s">
        <v>497</v>
      </c>
      <c r="C337" t="s">
        <v>12</v>
      </c>
      <c r="D337" t="s">
        <v>13</v>
      </c>
      <c r="E337" s="4">
        <v>37.5</v>
      </c>
      <c r="F337">
        <v>1260000</v>
      </c>
      <c r="G337" t="s">
        <v>498</v>
      </c>
      <c r="H337">
        <v>0</v>
      </c>
      <c r="I337">
        <v>0</v>
      </c>
      <c r="J337">
        <v>0.66666666666666674</v>
      </c>
    </row>
    <row r="338" spans="1:15" x14ac:dyDescent="0.2">
      <c r="A338" t="s">
        <v>488</v>
      </c>
      <c r="B338" t="s">
        <v>499</v>
      </c>
      <c r="C338" t="s">
        <v>12</v>
      </c>
      <c r="D338" t="s">
        <v>13</v>
      </c>
      <c r="E338">
        <v>37.75</v>
      </c>
      <c r="F338">
        <v>3926800</v>
      </c>
      <c r="G338" t="s">
        <v>500</v>
      </c>
      <c r="H338">
        <v>0</v>
      </c>
      <c r="I338">
        <v>0.66225165562913912</v>
      </c>
      <c r="J338">
        <v>0</v>
      </c>
    </row>
    <row r="339" spans="1:15" x14ac:dyDescent="0.2">
      <c r="A339" t="s">
        <v>488</v>
      </c>
      <c r="B339" t="s">
        <v>499</v>
      </c>
      <c r="C339" t="s">
        <v>12</v>
      </c>
      <c r="D339" t="s">
        <v>15</v>
      </c>
      <c r="E339">
        <v>37.75</v>
      </c>
      <c r="F339">
        <v>3926800</v>
      </c>
      <c r="G339" t="s">
        <v>16</v>
      </c>
      <c r="H339">
        <v>0</v>
      </c>
      <c r="I339">
        <v>0.66225165562913912</v>
      </c>
      <c r="J339">
        <v>0</v>
      </c>
    </row>
    <row r="340" spans="1:15" x14ac:dyDescent="0.2">
      <c r="A340" t="s">
        <v>488</v>
      </c>
      <c r="B340" t="s">
        <v>501</v>
      </c>
      <c r="C340" t="s">
        <v>12</v>
      </c>
      <c r="D340" t="s">
        <v>13</v>
      </c>
      <c r="E340" s="4">
        <v>37.75</v>
      </c>
      <c r="F340">
        <v>1772400</v>
      </c>
      <c r="G340" t="s">
        <v>502</v>
      </c>
      <c r="H340">
        <v>0.66225165562913912</v>
      </c>
      <c r="I340">
        <v>0.66225165562913912</v>
      </c>
      <c r="J340">
        <v>0.66225165562913912</v>
      </c>
    </row>
    <row r="341" spans="1:15" x14ac:dyDescent="0.2">
      <c r="A341" s="3" t="s">
        <v>488</v>
      </c>
      <c r="B341" s="3" t="s">
        <v>501</v>
      </c>
      <c r="C341" s="3" t="s">
        <v>12</v>
      </c>
      <c r="D341" s="3" t="s">
        <v>15</v>
      </c>
      <c r="E341" s="3">
        <v>37.75</v>
      </c>
      <c r="F341" s="3">
        <v>1772400</v>
      </c>
      <c r="G341" s="3" t="s">
        <v>16</v>
      </c>
      <c r="H341" s="3">
        <v>0.66225165562913912</v>
      </c>
      <c r="I341" s="3">
        <v>0.66225165562913912</v>
      </c>
      <c r="J341" s="3">
        <v>0.66225165562913912</v>
      </c>
    </row>
    <row r="342" spans="1:15" x14ac:dyDescent="0.2">
      <c r="A342" t="s">
        <v>503</v>
      </c>
      <c r="B342" t="s">
        <v>507</v>
      </c>
      <c r="C342" t="s">
        <v>12</v>
      </c>
      <c r="D342" t="s">
        <v>13</v>
      </c>
      <c r="E342" s="5">
        <v>38</v>
      </c>
      <c r="F342">
        <v>117212</v>
      </c>
      <c r="G342" t="s">
        <v>508</v>
      </c>
      <c r="H342">
        <v>0</v>
      </c>
      <c r="I342">
        <v>0</v>
      </c>
      <c r="J342">
        <v>-1.9736842105263159</v>
      </c>
    </row>
    <row r="343" spans="1:15" x14ac:dyDescent="0.2">
      <c r="A343" t="s">
        <v>503</v>
      </c>
      <c r="B343" t="s">
        <v>507</v>
      </c>
      <c r="C343" t="s">
        <v>12</v>
      </c>
      <c r="D343" t="s">
        <v>15</v>
      </c>
      <c r="E343">
        <v>38</v>
      </c>
      <c r="F343">
        <v>117212</v>
      </c>
      <c r="G343" t="s">
        <v>16</v>
      </c>
      <c r="H343">
        <v>0</v>
      </c>
      <c r="I343">
        <v>0</v>
      </c>
      <c r="J343">
        <v>-1.9736842105263159</v>
      </c>
    </row>
    <row r="344" spans="1:15" x14ac:dyDescent="0.2">
      <c r="A344" t="s">
        <v>503</v>
      </c>
      <c r="B344" t="s">
        <v>509</v>
      </c>
      <c r="C344" t="s">
        <v>12</v>
      </c>
      <c r="D344" t="s">
        <v>13</v>
      </c>
      <c r="E344">
        <v>37.75</v>
      </c>
      <c r="F344">
        <v>232100</v>
      </c>
      <c r="G344" t="s">
        <v>510</v>
      </c>
      <c r="H344">
        <v>0.66225165562913912</v>
      </c>
      <c r="I344">
        <v>0</v>
      </c>
      <c r="J344">
        <v>-1.324503311258278</v>
      </c>
    </row>
    <row r="345" spans="1:15" x14ac:dyDescent="0.2">
      <c r="A345" t="s">
        <v>503</v>
      </c>
      <c r="B345" t="s">
        <v>504</v>
      </c>
      <c r="C345" t="s">
        <v>12</v>
      </c>
      <c r="D345" t="s">
        <v>13</v>
      </c>
      <c r="E345" s="5">
        <v>37.75</v>
      </c>
      <c r="F345">
        <v>3588955</v>
      </c>
      <c r="G345" t="s">
        <v>511</v>
      </c>
      <c r="H345">
        <v>-1.324503311258278</v>
      </c>
      <c r="I345">
        <v>-0.66225165562913912</v>
      </c>
      <c r="J345">
        <v>-0.66225165562913912</v>
      </c>
    </row>
    <row r="346" spans="1:15" x14ac:dyDescent="0.2">
      <c r="A346" t="s">
        <v>503</v>
      </c>
      <c r="B346" t="s">
        <v>504</v>
      </c>
      <c r="C346" t="s">
        <v>12</v>
      </c>
      <c r="D346" t="s">
        <v>15</v>
      </c>
      <c r="E346">
        <v>37.75</v>
      </c>
      <c r="F346">
        <v>3588955</v>
      </c>
      <c r="G346" t="s">
        <v>16</v>
      </c>
      <c r="H346">
        <v>-1.324503311258278</v>
      </c>
      <c r="I346">
        <v>-0.66225165562913912</v>
      </c>
      <c r="J346">
        <v>-0.66225165562913912</v>
      </c>
    </row>
    <row r="347" spans="1:15" x14ac:dyDescent="0.2">
      <c r="A347" t="s">
        <v>503</v>
      </c>
      <c r="B347" t="s">
        <v>505</v>
      </c>
      <c r="C347" t="s">
        <v>12</v>
      </c>
      <c r="D347" t="s">
        <v>13</v>
      </c>
      <c r="E347" s="4">
        <v>37.25</v>
      </c>
      <c r="F347">
        <v>1450297</v>
      </c>
      <c r="G347" t="s">
        <v>512</v>
      </c>
      <c r="H347">
        <v>0.67114093959731547</v>
      </c>
      <c r="I347">
        <v>0.67114093959731547</v>
      </c>
      <c r="J347">
        <v>0.67114093959731547</v>
      </c>
    </row>
    <row r="348" spans="1:15" x14ac:dyDescent="0.2">
      <c r="A348" t="s">
        <v>503</v>
      </c>
      <c r="B348" t="s">
        <v>506</v>
      </c>
      <c r="C348" t="s">
        <v>12</v>
      </c>
      <c r="D348" t="s">
        <v>13</v>
      </c>
      <c r="E348">
        <v>37.25</v>
      </c>
      <c r="F348">
        <v>2981232</v>
      </c>
      <c r="G348" t="s">
        <v>513</v>
      </c>
      <c r="H348">
        <v>0.67114093959731547</v>
      </c>
      <c r="I348">
        <v>0.67114093959731547</v>
      </c>
      <c r="J348">
        <v>0.67114093959731547</v>
      </c>
    </row>
    <row r="349" spans="1:15" x14ac:dyDescent="0.2">
      <c r="A349" t="s">
        <v>503</v>
      </c>
      <c r="B349" t="s">
        <v>506</v>
      </c>
      <c r="C349" t="s">
        <v>12</v>
      </c>
      <c r="D349" t="s">
        <v>15</v>
      </c>
      <c r="E349">
        <v>37.25</v>
      </c>
      <c r="F349">
        <v>2981232</v>
      </c>
      <c r="G349" t="s">
        <v>16</v>
      </c>
      <c r="H349">
        <v>0.67114093959731547</v>
      </c>
      <c r="I349">
        <v>0.67114093959731547</v>
      </c>
      <c r="J349">
        <v>0.67114093959731547</v>
      </c>
    </row>
    <row r="350" spans="1:15" x14ac:dyDescent="0.2">
      <c r="A350" t="s">
        <v>503</v>
      </c>
      <c r="B350" t="s">
        <v>514</v>
      </c>
      <c r="C350" t="s">
        <v>12</v>
      </c>
      <c r="D350" t="s">
        <v>13</v>
      </c>
      <c r="E350" s="5">
        <v>37.75</v>
      </c>
      <c r="F350">
        <v>2113456</v>
      </c>
      <c r="G350" t="s">
        <v>515</v>
      </c>
      <c r="H350">
        <v>-0.66225165562913912</v>
      </c>
      <c r="I350">
        <v>-0.66225165562913912</v>
      </c>
      <c r="J350">
        <v>-1.324503311258278</v>
      </c>
    </row>
    <row r="351" spans="1:15" x14ac:dyDescent="0.2">
      <c r="A351" t="s">
        <v>503</v>
      </c>
      <c r="B351" t="s">
        <v>516</v>
      </c>
      <c r="C351" t="s">
        <v>12</v>
      </c>
      <c r="D351" t="s">
        <v>13</v>
      </c>
      <c r="E351" s="4">
        <v>37.5</v>
      </c>
      <c r="F351">
        <v>2422610</v>
      </c>
      <c r="G351" t="s">
        <v>517</v>
      </c>
      <c r="H351" s="4">
        <v>3.333333333333333</v>
      </c>
      <c r="I351" s="4">
        <v>2</v>
      </c>
      <c r="J351" s="4">
        <v>1.333333333333333</v>
      </c>
      <c r="L351" s="9"/>
      <c r="M351" s="6"/>
      <c r="N351" s="9"/>
      <c r="O351" s="10" t="e">
        <f>((M352-M351)/M351)</f>
        <v>#DIV/0!</v>
      </c>
    </row>
    <row r="352" spans="1:15" x14ac:dyDescent="0.2">
      <c r="A352" t="s">
        <v>503</v>
      </c>
      <c r="B352" t="s">
        <v>516</v>
      </c>
      <c r="C352" t="s">
        <v>12</v>
      </c>
      <c r="D352" t="s">
        <v>15</v>
      </c>
      <c r="E352">
        <v>37.5</v>
      </c>
      <c r="F352">
        <v>2422610</v>
      </c>
      <c r="G352" t="s">
        <v>16</v>
      </c>
      <c r="H352">
        <v>3.333333333333333</v>
      </c>
      <c r="I352">
        <v>2</v>
      </c>
      <c r="J352">
        <v>1.333333333333333</v>
      </c>
      <c r="L352" s="9"/>
      <c r="M352" s="6"/>
      <c r="N352" s="9"/>
    </row>
    <row r="353" spans="1:10" x14ac:dyDescent="0.2">
      <c r="A353" s="8" t="s">
        <v>503</v>
      </c>
      <c r="B353" s="8" t="s">
        <v>518</v>
      </c>
      <c r="C353" s="8" t="s">
        <v>12</v>
      </c>
      <c r="D353" s="8" t="s">
        <v>13</v>
      </c>
      <c r="E353" s="14">
        <v>37.75</v>
      </c>
      <c r="F353" s="8">
        <v>2028825</v>
      </c>
      <c r="G353" s="8" t="s">
        <v>519</v>
      </c>
      <c r="H353" s="8">
        <v>1.324503311258278</v>
      </c>
      <c r="I353" s="8">
        <v>1.324503311258278</v>
      </c>
      <c r="J353" s="8">
        <v>0.66225165562913912</v>
      </c>
    </row>
    <row r="354" spans="1:10" x14ac:dyDescent="0.2">
      <c r="A354" t="s">
        <v>520</v>
      </c>
      <c r="B354" t="s">
        <v>521</v>
      </c>
      <c r="C354" t="s">
        <v>12</v>
      </c>
      <c r="D354" t="s">
        <v>35</v>
      </c>
      <c r="E354" s="5">
        <v>38.75</v>
      </c>
      <c r="F354">
        <v>0</v>
      </c>
      <c r="G354" t="s">
        <v>522</v>
      </c>
      <c r="H354">
        <v>-1.290322580645161</v>
      </c>
      <c r="I354">
        <v>-1.935483870967742</v>
      </c>
      <c r="J354">
        <v>-1.935483870967742</v>
      </c>
    </row>
    <row r="355" spans="1:10" x14ac:dyDescent="0.2">
      <c r="A355" t="s">
        <v>520</v>
      </c>
      <c r="B355" t="s">
        <v>523</v>
      </c>
      <c r="C355" t="s">
        <v>12</v>
      </c>
      <c r="D355" t="s">
        <v>13</v>
      </c>
      <c r="E355" s="5">
        <v>38.5</v>
      </c>
      <c r="F355">
        <v>1512382</v>
      </c>
      <c r="G355" t="s">
        <v>524</v>
      </c>
      <c r="H355">
        <v>-0.64935064935064934</v>
      </c>
      <c r="I355">
        <v>-0.64935064935064934</v>
      </c>
      <c r="J355">
        <v>-0.64935064935064934</v>
      </c>
    </row>
    <row r="356" spans="1:10" x14ac:dyDescent="0.2">
      <c r="A356" t="s">
        <v>520</v>
      </c>
      <c r="B356" t="s">
        <v>525</v>
      </c>
      <c r="C356" t="s">
        <v>12</v>
      </c>
      <c r="D356" t="s">
        <v>13</v>
      </c>
      <c r="E356">
        <v>38.25</v>
      </c>
      <c r="F356">
        <v>2430314</v>
      </c>
      <c r="G356" t="s">
        <v>526</v>
      </c>
      <c r="H356">
        <v>0</v>
      </c>
      <c r="I356">
        <v>0</v>
      </c>
      <c r="J356">
        <v>0</v>
      </c>
    </row>
    <row r="357" spans="1:10" x14ac:dyDescent="0.2">
      <c r="A357" t="s">
        <v>520</v>
      </c>
      <c r="B357" t="s">
        <v>525</v>
      </c>
      <c r="C357" t="s">
        <v>12</v>
      </c>
      <c r="D357" t="s">
        <v>35</v>
      </c>
      <c r="E357">
        <v>38.25</v>
      </c>
      <c r="F357">
        <v>2430314</v>
      </c>
      <c r="G357" t="s">
        <v>527</v>
      </c>
      <c r="H357">
        <v>0</v>
      </c>
      <c r="I357">
        <v>0</v>
      </c>
      <c r="J357">
        <v>0</v>
      </c>
    </row>
    <row r="358" spans="1:10" x14ac:dyDescent="0.2">
      <c r="A358" t="s">
        <v>520</v>
      </c>
      <c r="B358" t="s">
        <v>528</v>
      </c>
      <c r="C358" t="s">
        <v>12</v>
      </c>
      <c r="D358" t="s">
        <v>13</v>
      </c>
      <c r="E358" s="4">
        <v>38</v>
      </c>
      <c r="F358">
        <v>165810</v>
      </c>
      <c r="G358" t="s">
        <v>529</v>
      </c>
      <c r="H358">
        <v>0.6578947368421052</v>
      </c>
      <c r="I358">
        <v>0.6578947368421052</v>
      </c>
      <c r="J358">
        <v>0.6578947368421052</v>
      </c>
    </row>
    <row r="359" spans="1:10" x14ac:dyDescent="0.2">
      <c r="A359" t="s">
        <v>520</v>
      </c>
      <c r="B359" t="s">
        <v>530</v>
      </c>
      <c r="C359" t="s">
        <v>12</v>
      </c>
      <c r="D359" t="s">
        <v>13</v>
      </c>
      <c r="E359">
        <v>38</v>
      </c>
      <c r="F359">
        <v>166138</v>
      </c>
      <c r="G359" t="s">
        <v>531</v>
      </c>
      <c r="H359">
        <v>0.6578947368421052</v>
      </c>
      <c r="I359">
        <v>0.6578947368421052</v>
      </c>
      <c r="J359">
        <v>0</v>
      </c>
    </row>
    <row r="360" spans="1:10" x14ac:dyDescent="0.2">
      <c r="A360" t="s">
        <v>520</v>
      </c>
      <c r="B360" t="s">
        <v>530</v>
      </c>
      <c r="C360" t="s">
        <v>12</v>
      </c>
      <c r="D360" t="s">
        <v>15</v>
      </c>
      <c r="E360">
        <v>38</v>
      </c>
      <c r="F360">
        <v>166138</v>
      </c>
      <c r="G360" t="s">
        <v>16</v>
      </c>
      <c r="H360">
        <v>0.6578947368421052</v>
      </c>
      <c r="I360">
        <v>0.6578947368421052</v>
      </c>
      <c r="J360">
        <v>0</v>
      </c>
    </row>
    <row r="361" spans="1:10" x14ac:dyDescent="0.2">
      <c r="A361" t="s">
        <v>520</v>
      </c>
      <c r="B361" t="s">
        <v>532</v>
      </c>
      <c r="C361" t="s">
        <v>12</v>
      </c>
      <c r="D361" t="s">
        <v>13</v>
      </c>
      <c r="E361" s="5">
        <v>38.25</v>
      </c>
      <c r="F361">
        <v>3310819</v>
      </c>
      <c r="G361" t="s">
        <v>533</v>
      </c>
      <c r="H361">
        <v>0</v>
      </c>
      <c r="I361">
        <v>0</v>
      </c>
      <c r="J361">
        <v>-0.65359477124183007</v>
      </c>
    </row>
    <row r="362" spans="1:10" x14ac:dyDescent="0.2">
      <c r="A362" t="s">
        <v>520</v>
      </c>
      <c r="B362" t="s">
        <v>534</v>
      </c>
      <c r="C362" t="s">
        <v>12</v>
      </c>
      <c r="D362" t="s">
        <v>13</v>
      </c>
      <c r="E362" s="4">
        <v>38</v>
      </c>
      <c r="F362">
        <v>125429</v>
      </c>
      <c r="G362" t="s">
        <v>535</v>
      </c>
      <c r="H362">
        <v>0</v>
      </c>
      <c r="I362">
        <v>0.6578947368421052</v>
      </c>
      <c r="J362">
        <v>0.6578947368421052</v>
      </c>
    </row>
    <row r="363" spans="1:10" x14ac:dyDescent="0.2">
      <c r="A363" t="s">
        <v>520</v>
      </c>
      <c r="B363" t="s">
        <v>536</v>
      </c>
      <c r="C363" t="s">
        <v>12</v>
      </c>
      <c r="D363" t="s">
        <v>13</v>
      </c>
      <c r="E363" s="4">
        <v>38.25</v>
      </c>
      <c r="F363">
        <v>369641</v>
      </c>
      <c r="G363" t="s">
        <v>537</v>
      </c>
      <c r="H363">
        <v>0</v>
      </c>
      <c r="I363">
        <v>0</v>
      </c>
      <c r="J363">
        <v>0.65359477124183007</v>
      </c>
    </row>
    <row r="364" spans="1:10" x14ac:dyDescent="0.2">
      <c r="A364" t="s">
        <v>520</v>
      </c>
      <c r="B364" t="s">
        <v>538</v>
      </c>
      <c r="C364" t="s">
        <v>12</v>
      </c>
      <c r="D364" t="s">
        <v>13</v>
      </c>
      <c r="E364">
        <v>38</v>
      </c>
      <c r="F364">
        <v>370350</v>
      </c>
      <c r="G364" t="s">
        <v>539</v>
      </c>
      <c r="H364">
        <v>0.6578947368421052</v>
      </c>
      <c r="I364">
        <v>0</v>
      </c>
      <c r="J364">
        <v>1.31578947368421</v>
      </c>
    </row>
    <row r="365" spans="1:10" x14ac:dyDescent="0.2">
      <c r="A365" t="s">
        <v>520</v>
      </c>
      <c r="B365" t="s">
        <v>538</v>
      </c>
      <c r="C365" t="s">
        <v>12</v>
      </c>
      <c r="D365" t="s">
        <v>15</v>
      </c>
      <c r="E365">
        <v>38</v>
      </c>
      <c r="F365">
        <v>370350</v>
      </c>
      <c r="G365" t="s">
        <v>16</v>
      </c>
      <c r="H365">
        <v>0.6578947368421052</v>
      </c>
      <c r="I365">
        <v>0</v>
      </c>
      <c r="J365">
        <v>1.31578947368421</v>
      </c>
    </row>
    <row r="366" spans="1:10" x14ac:dyDescent="0.2">
      <c r="A366" t="s">
        <v>520</v>
      </c>
      <c r="B366" t="s">
        <v>540</v>
      </c>
      <c r="C366" t="s">
        <v>12</v>
      </c>
      <c r="D366" t="s">
        <v>13</v>
      </c>
      <c r="E366" s="4">
        <v>38</v>
      </c>
      <c r="F366">
        <v>376911</v>
      </c>
      <c r="G366" t="s">
        <v>541</v>
      </c>
      <c r="H366">
        <v>0.6578947368421052</v>
      </c>
      <c r="I366">
        <v>0</v>
      </c>
      <c r="J366">
        <v>0.6578947368421052</v>
      </c>
    </row>
    <row r="367" spans="1:10" x14ac:dyDescent="0.2">
      <c r="A367" t="s">
        <v>520</v>
      </c>
      <c r="B367" t="s">
        <v>542</v>
      </c>
      <c r="C367" t="s">
        <v>12</v>
      </c>
      <c r="D367" t="s">
        <v>13</v>
      </c>
      <c r="E367" s="4">
        <v>38.25</v>
      </c>
      <c r="F367">
        <v>1608015</v>
      </c>
      <c r="G367" t="s">
        <v>543</v>
      </c>
      <c r="H367">
        <v>0</v>
      </c>
      <c r="I367">
        <v>0.65359477124183007</v>
      </c>
      <c r="J367">
        <v>0</v>
      </c>
    </row>
    <row r="368" spans="1:10" x14ac:dyDescent="0.2">
      <c r="A368" s="8" t="s">
        <v>520</v>
      </c>
      <c r="B368" s="8" t="s">
        <v>542</v>
      </c>
      <c r="C368" s="8" t="s">
        <v>12</v>
      </c>
      <c r="D368" s="8" t="s">
        <v>15</v>
      </c>
      <c r="E368" s="8">
        <v>38.25</v>
      </c>
      <c r="F368" s="8">
        <v>1608015</v>
      </c>
      <c r="G368" s="8" t="s">
        <v>16</v>
      </c>
      <c r="H368" s="8">
        <v>0</v>
      </c>
      <c r="I368" s="8">
        <v>0.65359477124183007</v>
      </c>
      <c r="J368" s="8">
        <v>0</v>
      </c>
    </row>
    <row r="369" spans="1:15" x14ac:dyDescent="0.2">
      <c r="A369" t="s">
        <v>544</v>
      </c>
      <c r="B369" t="s">
        <v>545</v>
      </c>
      <c r="C369" t="s">
        <v>12</v>
      </c>
      <c r="D369" t="s">
        <v>13</v>
      </c>
      <c r="E369">
        <v>38.25</v>
      </c>
      <c r="F369">
        <v>863388</v>
      </c>
      <c r="G369" t="s">
        <v>546</v>
      </c>
      <c r="H369">
        <v>0.65359477124183007</v>
      </c>
      <c r="I369">
        <v>0.65359477124183007</v>
      </c>
      <c r="J369">
        <v>0</v>
      </c>
    </row>
    <row r="370" spans="1:15" x14ac:dyDescent="0.2">
      <c r="A370" t="s">
        <v>544</v>
      </c>
      <c r="B370" t="s">
        <v>547</v>
      </c>
      <c r="C370" t="s">
        <v>12</v>
      </c>
      <c r="D370" t="s">
        <v>13</v>
      </c>
      <c r="E370">
        <v>38.5</v>
      </c>
      <c r="F370">
        <v>1403571</v>
      </c>
      <c r="G370" t="s">
        <v>548</v>
      </c>
      <c r="H370">
        <v>0</v>
      </c>
      <c r="I370">
        <v>0</v>
      </c>
      <c r="J370">
        <v>0</v>
      </c>
    </row>
    <row r="371" spans="1:15" x14ac:dyDescent="0.2">
      <c r="A371" t="s">
        <v>544</v>
      </c>
      <c r="B371" t="s">
        <v>549</v>
      </c>
      <c r="C371" t="s">
        <v>12</v>
      </c>
      <c r="D371" t="s">
        <v>13</v>
      </c>
      <c r="E371" s="4">
        <v>38.5</v>
      </c>
      <c r="F371">
        <v>1277791</v>
      </c>
      <c r="G371" t="s">
        <v>550</v>
      </c>
      <c r="H371">
        <v>0.64935064935064934</v>
      </c>
      <c r="I371">
        <v>0</v>
      </c>
      <c r="J371">
        <v>0</v>
      </c>
    </row>
    <row r="372" spans="1:15" x14ac:dyDescent="0.2">
      <c r="A372" t="s">
        <v>544</v>
      </c>
      <c r="B372" t="s">
        <v>549</v>
      </c>
      <c r="C372" t="s">
        <v>12</v>
      </c>
      <c r="D372" t="s">
        <v>15</v>
      </c>
      <c r="E372">
        <v>38.5</v>
      </c>
      <c r="F372">
        <v>1277791</v>
      </c>
      <c r="G372" t="s">
        <v>16</v>
      </c>
      <c r="H372">
        <v>0.64935064935064934</v>
      </c>
      <c r="I372">
        <v>0</v>
      </c>
      <c r="J372">
        <v>0</v>
      </c>
    </row>
    <row r="373" spans="1:15" x14ac:dyDescent="0.2">
      <c r="A373" t="s">
        <v>544</v>
      </c>
      <c r="B373" t="s">
        <v>551</v>
      </c>
      <c r="C373" t="s">
        <v>12</v>
      </c>
      <c r="D373" t="s">
        <v>13</v>
      </c>
      <c r="E373">
        <v>38.5</v>
      </c>
      <c r="F373">
        <v>1769325</v>
      </c>
      <c r="G373" t="s">
        <v>552</v>
      </c>
      <c r="H373">
        <v>0</v>
      </c>
      <c r="I373">
        <v>0</v>
      </c>
      <c r="J373">
        <v>0.64935064935064934</v>
      </c>
    </row>
    <row r="374" spans="1:15" x14ac:dyDescent="0.2">
      <c r="A374" t="s">
        <v>544</v>
      </c>
      <c r="B374" t="s">
        <v>551</v>
      </c>
      <c r="C374" t="s">
        <v>12</v>
      </c>
      <c r="D374" t="s">
        <v>15</v>
      </c>
      <c r="E374">
        <v>38.5</v>
      </c>
      <c r="F374">
        <v>1769325</v>
      </c>
      <c r="G374" t="s">
        <v>16</v>
      </c>
      <c r="H374">
        <v>0</v>
      </c>
      <c r="I374">
        <v>0</v>
      </c>
      <c r="J374">
        <v>0.64935064935064934</v>
      </c>
    </row>
    <row r="375" spans="1:15" x14ac:dyDescent="0.2">
      <c r="A375" t="s">
        <v>544</v>
      </c>
      <c r="B375" t="s">
        <v>553</v>
      </c>
      <c r="C375" t="s">
        <v>12</v>
      </c>
      <c r="D375" t="s">
        <v>13</v>
      </c>
      <c r="E375" s="4">
        <v>38.75</v>
      </c>
      <c r="F375">
        <v>113000</v>
      </c>
      <c r="G375" t="s">
        <v>554</v>
      </c>
      <c r="H375" s="4">
        <v>1.290322580645161</v>
      </c>
      <c r="I375" s="4">
        <v>0.64516129032258063</v>
      </c>
      <c r="J375" s="4">
        <v>1.290322580645161</v>
      </c>
      <c r="L375" s="9"/>
      <c r="M375" s="6"/>
      <c r="N375" s="9"/>
      <c r="O375" s="10" t="e">
        <f>((M376-M375)/M375)</f>
        <v>#DIV/0!</v>
      </c>
    </row>
    <row r="376" spans="1:15" x14ac:dyDescent="0.2">
      <c r="A376" t="s">
        <v>544</v>
      </c>
      <c r="B376" t="s">
        <v>555</v>
      </c>
      <c r="C376" t="s">
        <v>12</v>
      </c>
      <c r="D376" t="s">
        <v>13</v>
      </c>
      <c r="E376">
        <v>38.5</v>
      </c>
      <c r="F376">
        <v>166238</v>
      </c>
      <c r="G376" t="s">
        <v>556</v>
      </c>
      <c r="H376">
        <v>1.948051948051948</v>
      </c>
      <c r="I376">
        <v>1.948051948051948</v>
      </c>
      <c r="J376">
        <v>1.948051948051948</v>
      </c>
      <c r="L376" s="9"/>
      <c r="M376" s="6"/>
      <c r="N376" s="9"/>
    </row>
    <row r="377" spans="1:15" x14ac:dyDescent="0.2">
      <c r="A377" s="8" t="s">
        <v>544</v>
      </c>
      <c r="B377" s="8" t="s">
        <v>557</v>
      </c>
      <c r="C377" s="8" t="s">
        <v>12</v>
      </c>
      <c r="D377" s="8" t="s">
        <v>13</v>
      </c>
      <c r="E377" s="8">
        <v>38.75</v>
      </c>
      <c r="F377" s="8">
        <v>468318</v>
      </c>
      <c r="G377" s="8" t="s">
        <v>558</v>
      </c>
      <c r="H377" s="8">
        <v>1.290322580645161</v>
      </c>
      <c r="I377" s="8">
        <v>1.290322580645161</v>
      </c>
      <c r="J377" s="8">
        <v>1.290322580645161</v>
      </c>
    </row>
    <row r="378" spans="1:15" x14ac:dyDescent="0.2">
      <c r="A378" t="s">
        <v>559</v>
      </c>
      <c r="B378" t="s">
        <v>560</v>
      </c>
      <c r="C378" t="s">
        <v>12</v>
      </c>
      <c r="D378" t="s">
        <v>13</v>
      </c>
      <c r="E378">
        <v>39.25</v>
      </c>
      <c r="F378">
        <v>4023531</v>
      </c>
      <c r="G378" t="s">
        <v>561</v>
      </c>
      <c r="H378">
        <v>0</v>
      </c>
      <c r="I378">
        <v>0</v>
      </c>
      <c r="J378">
        <v>0</v>
      </c>
    </row>
    <row r="379" spans="1:15" x14ac:dyDescent="0.2">
      <c r="A379" t="s">
        <v>559</v>
      </c>
      <c r="B379" t="s">
        <v>560</v>
      </c>
      <c r="C379" t="s">
        <v>12</v>
      </c>
      <c r="D379" t="s">
        <v>15</v>
      </c>
      <c r="E379">
        <v>39.25</v>
      </c>
      <c r="F379">
        <v>4023531</v>
      </c>
      <c r="G379" t="s">
        <v>16</v>
      </c>
      <c r="H379">
        <v>0</v>
      </c>
      <c r="I379">
        <v>0</v>
      </c>
      <c r="J379">
        <v>0</v>
      </c>
    </row>
    <row r="380" spans="1:15" x14ac:dyDescent="0.2">
      <c r="A380" t="s">
        <v>559</v>
      </c>
      <c r="B380" t="s">
        <v>562</v>
      </c>
      <c r="C380" t="s">
        <v>12</v>
      </c>
      <c r="D380" t="s">
        <v>13</v>
      </c>
      <c r="E380" s="4">
        <v>39.25</v>
      </c>
      <c r="F380">
        <v>1461066</v>
      </c>
      <c r="G380" t="s">
        <v>563</v>
      </c>
      <c r="H380">
        <v>0.63694267515923575</v>
      </c>
      <c r="I380">
        <v>0</v>
      </c>
      <c r="J380">
        <v>0</v>
      </c>
    </row>
    <row r="381" spans="1:15" x14ac:dyDescent="0.2">
      <c r="A381" t="s">
        <v>559</v>
      </c>
      <c r="B381" t="s">
        <v>562</v>
      </c>
      <c r="C381" t="s">
        <v>12</v>
      </c>
      <c r="D381" t="s">
        <v>15</v>
      </c>
      <c r="E381">
        <v>39.25</v>
      </c>
      <c r="F381">
        <v>1461066</v>
      </c>
      <c r="G381" t="s">
        <v>16</v>
      </c>
      <c r="H381">
        <v>0.63694267515923575</v>
      </c>
      <c r="I381">
        <v>0</v>
      </c>
      <c r="J381">
        <v>0</v>
      </c>
    </row>
    <row r="382" spans="1:15" x14ac:dyDescent="0.2">
      <c r="A382" t="s">
        <v>559</v>
      </c>
      <c r="B382" t="s">
        <v>564</v>
      </c>
      <c r="C382" t="s">
        <v>12</v>
      </c>
      <c r="D382" t="s">
        <v>13</v>
      </c>
      <c r="E382">
        <v>39.25</v>
      </c>
      <c r="F382">
        <v>1795472</v>
      </c>
      <c r="G382" t="s">
        <v>565</v>
      </c>
      <c r="H382">
        <v>0</v>
      </c>
      <c r="I382">
        <v>0</v>
      </c>
      <c r="J382">
        <v>0</v>
      </c>
    </row>
    <row r="383" spans="1:15" x14ac:dyDescent="0.2">
      <c r="A383" t="s">
        <v>559</v>
      </c>
      <c r="B383" t="s">
        <v>564</v>
      </c>
      <c r="C383" t="s">
        <v>12</v>
      </c>
      <c r="D383" t="s">
        <v>15</v>
      </c>
      <c r="E383">
        <v>39.25</v>
      </c>
      <c r="F383">
        <v>1795472</v>
      </c>
      <c r="G383" t="s">
        <v>16</v>
      </c>
      <c r="H383">
        <v>0</v>
      </c>
      <c r="I383">
        <v>0</v>
      </c>
      <c r="J383">
        <v>0</v>
      </c>
    </row>
    <row r="384" spans="1:15" x14ac:dyDescent="0.2">
      <c r="A384" t="s">
        <v>559</v>
      </c>
      <c r="B384" t="s">
        <v>566</v>
      </c>
      <c r="C384" t="s">
        <v>12</v>
      </c>
      <c r="D384" t="s">
        <v>13</v>
      </c>
      <c r="E384" s="4">
        <v>39</v>
      </c>
      <c r="F384">
        <v>14046902</v>
      </c>
      <c r="G384" t="s">
        <v>567</v>
      </c>
      <c r="H384">
        <v>-0.64102564102564097</v>
      </c>
      <c r="I384">
        <v>-0.64102564102564097</v>
      </c>
      <c r="J384">
        <v>1.9230769230769229</v>
      </c>
    </row>
    <row r="385" spans="1:10" x14ac:dyDescent="0.2">
      <c r="A385" t="s">
        <v>559</v>
      </c>
      <c r="B385" t="s">
        <v>568</v>
      </c>
      <c r="C385" t="s">
        <v>12</v>
      </c>
      <c r="D385" t="s">
        <v>13</v>
      </c>
      <c r="E385" s="4">
        <v>38.75</v>
      </c>
      <c r="F385">
        <v>5207621</v>
      </c>
      <c r="G385" t="s">
        <v>569</v>
      </c>
      <c r="H385">
        <v>0</v>
      </c>
      <c r="I385">
        <v>0</v>
      </c>
      <c r="J385">
        <v>1.935483870967742</v>
      </c>
    </row>
    <row r="386" spans="1:10" x14ac:dyDescent="0.2">
      <c r="A386" t="s">
        <v>559</v>
      </c>
      <c r="B386" t="s">
        <v>568</v>
      </c>
      <c r="C386" t="s">
        <v>12</v>
      </c>
      <c r="D386" t="s">
        <v>35</v>
      </c>
      <c r="E386">
        <v>38.75</v>
      </c>
      <c r="F386">
        <v>5207621</v>
      </c>
      <c r="G386" t="s">
        <v>152</v>
      </c>
      <c r="H386">
        <v>0</v>
      </c>
      <c r="I386">
        <v>0</v>
      </c>
      <c r="J386">
        <v>1.935483870967742</v>
      </c>
    </row>
    <row r="387" spans="1:10" x14ac:dyDescent="0.2">
      <c r="A387" t="s">
        <v>559</v>
      </c>
      <c r="B387" t="s">
        <v>570</v>
      </c>
      <c r="C387" t="s">
        <v>12</v>
      </c>
      <c r="D387" t="s">
        <v>13</v>
      </c>
      <c r="E387" s="15">
        <v>39.75</v>
      </c>
      <c r="F387">
        <v>13558738</v>
      </c>
      <c r="G387" t="s">
        <v>571</v>
      </c>
      <c r="H387" s="5">
        <v>-0.62893081761006298</v>
      </c>
      <c r="I387">
        <v>0</v>
      </c>
      <c r="J387">
        <v>0.62893081761006298</v>
      </c>
    </row>
    <row r="388" spans="1:10" x14ac:dyDescent="0.2">
      <c r="A388" s="8" t="s">
        <v>559</v>
      </c>
      <c r="B388" s="8" t="s">
        <v>570</v>
      </c>
      <c r="C388" s="8" t="s">
        <v>12</v>
      </c>
      <c r="D388" s="8" t="s">
        <v>35</v>
      </c>
      <c r="E388" s="8">
        <v>39.75</v>
      </c>
      <c r="F388" s="8">
        <v>13558738</v>
      </c>
      <c r="G388" s="8" t="s">
        <v>572</v>
      </c>
      <c r="H388" s="16">
        <v>-0.62893081761006298</v>
      </c>
      <c r="I388" s="8">
        <v>0</v>
      </c>
      <c r="J388" s="8">
        <v>0.62893081761006298</v>
      </c>
    </row>
    <row r="389" spans="1:10" x14ac:dyDescent="0.2">
      <c r="A389" t="s">
        <v>573</v>
      </c>
      <c r="B389" t="s">
        <v>574</v>
      </c>
      <c r="C389" t="s">
        <v>12</v>
      </c>
      <c r="D389" t="s">
        <v>35</v>
      </c>
      <c r="E389" s="4">
        <v>39.5</v>
      </c>
      <c r="F389">
        <v>4923100</v>
      </c>
      <c r="G389" t="s">
        <v>527</v>
      </c>
      <c r="H389">
        <v>0.63291139240506333</v>
      </c>
      <c r="I389">
        <v>0.63291139240506333</v>
      </c>
      <c r="J389">
        <v>1.89873417721519</v>
      </c>
    </row>
    <row r="390" spans="1:10" x14ac:dyDescent="0.2">
      <c r="A390" t="s">
        <v>573</v>
      </c>
      <c r="B390" t="s">
        <v>575</v>
      </c>
      <c r="C390" t="s">
        <v>12</v>
      </c>
      <c r="D390" t="s">
        <v>13</v>
      </c>
      <c r="E390">
        <v>39.5</v>
      </c>
      <c r="F390">
        <v>1543453</v>
      </c>
      <c r="G390" t="s">
        <v>576</v>
      </c>
      <c r="H390">
        <v>0.63291139240506333</v>
      </c>
      <c r="I390">
        <v>0</v>
      </c>
      <c r="J390">
        <v>0</v>
      </c>
    </row>
    <row r="391" spans="1:10" x14ac:dyDescent="0.2">
      <c r="A391" t="s">
        <v>573</v>
      </c>
      <c r="B391" t="s">
        <v>577</v>
      </c>
      <c r="C391" t="s">
        <v>12</v>
      </c>
      <c r="D391" t="s">
        <v>13</v>
      </c>
      <c r="E391">
        <v>39.75</v>
      </c>
      <c r="F391">
        <v>3495730</v>
      </c>
      <c r="G391" t="s">
        <v>578</v>
      </c>
      <c r="H391">
        <v>0</v>
      </c>
      <c r="I391">
        <v>0</v>
      </c>
      <c r="J391">
        <v>0</v>
      </c>
    </row>
    <row r="392" spans="1:10" x14ac:dyDescent="0.2">
      <c r="A392" t="s">
        <v>573</v>
      </c>
      <c r="B392" t="s">
        <v>579</v>
      </c>
      <c r="C392" t="s">
        <v>12</v>
      </c>
      <c r="D392" t="s">
        <v>13</v>
      </c>
      <c r="E392" s="4">
        <v>39.75</v>
      </c>
      <c r="F392">
        <v>1550714</v>
      </c>
      <c r="G392" t="s">
        <v>580</v>
      </c>
      <c r="H392">
        <v>0</v>
      </c>
      <c r="I392">
        <v>0</v>
      </c>
      <c r="J392">
        <v>0.62893081761006298</v>
      </c>
    </row>
    <row r="393" spans="1:10" x14ac:dyDescent="0.2">
      <c r="A393" t="s">
        <v>573</v>
      </c>
      <c r="B393" t="s">
        <v>579</v>
      </c>
      <c r="C393" t="s">
        <v>12</v>
      </c>
      <c r="D393" t="s">
        <v>15</v>
      </c>
      <c r="E393">
        <v>39.75</v>
      </c>
      <c r="F393">
        <v>1550714</v>
      </c>
      <c r="G393" t="s">
        <v>16</v>
      </c>
      <c r="H393">
        <v>0</v>
      </c>
      <c r="I393">
        <v>0</v>
      </c>
      <c r="J393">
        <v>0.62893081761006298</v>
      </c>
    </row>
    <row r="394" spans="1:10" x14ac:dyDescent="0.2">
      <c r="A394" s="8" t="s">
        <v>573</v>
      </c>
      <c r="B394" s="8" t="s">
        <v>581</v>
      </c>
      <c r="C394" s="8" t="s">
        <v>12</v>
      </c>
      <c r="D394" s="8" t="s">
        <v>13</v>
      </c>
      <c r="E394" s="16">
        <v>39.75</v>
      </c>
      <c r="F394" s="8">
        <v>541207</v>
      </c>
      <c r="G394" s="8" t="s">
        <v>582</v>
      </c>
      <c r="H394" s="16">
        <v>-0.62893081761006298</v>
      </c>
      <c r="I394" s="16">
        <v>-1.257861635220126</v>
      </c>
      <c r="J394" s="16">
        <v>-0.62893081761006298</v>
      </c>
    </row>
    <row r="395" spans="1:10" x14ac:dyDescent="0.2">
      <c r="A395" t="s">
        <v>583</v>
      </c>
      <c r="B395" t="s">
        <v>584</v>
      </c>
      <c r="C395" t="s">
        <v>12</v>
      </c>
      <c r="D395" t="s">
        <v>13</v>
      </c>
      <c r="E395">
        <v>39.75</v>
      </c>
      <c r="F395">
        <v>771957</v>
      </c>
      <c r="G395" t="s">
        <v>585</v>
      </c>
      <c r="H395">
        <v>-0.62893081761006298</v>
      </c>
      <c r="I395">
        <v>-0.62893081761006298</v>
      </c>
      <c r="J395">
        <v>-1.257861635220126</v>
      </c>
    </row>
    <row r="396" spans="1:10" x14ac:dyDescent="0.2">
      <c r="A396" t="s">
        <v>583</v>
      </c>
      <c r="B396" t="s">
        <v>586</v>
      </c>
      <c r="C396" t="s">
        <v>12</v>
      </c>
      <c r="D396" t="s">
        <v>13</v>
      </c>
      <c r="E396">
        <v>39.25</v>
      </c>
      <c r="F396">
        <v>1555414</v>
      </c>
      <c r="G396" t="s">
        <v>587</v>
      </c>
      <c r="H396">
        <v>0</v>
      </c>
      <c r="I396">
        <v>0</v>
      </c>
      <c r="J396">
        <v>0</v>
      </c>
    </row>
    <row r="397" spans="1:10" x14ac:dyDescent="0.2">
      <c r="A397" t="s">
        <v>583</v>
      </c>
      <c r="B397" t="s">
        <v>588</v>
      </c>
      <c r="C397" t="s">
        <v>12</v>
      </c>
      <c r="D397" t="s">
        <v>13</v>
      </c>
      <c r="E397" s="4">
        <v>39.25</v>
      </c>
      <c r="F397">
        <v>1875509</v>
      </c>
      <c r="G397" t="s">
        <v>589</v>
      </c>
      <c r="H397" s="4">
        <v>0.63694267515923575</v>
      </c>
      <c r="I397" s="4">
        <v>0.63694267515923575</v>
      </c>
      <c r="J397" s="4">
        <v>1.2738853503184711</v>
      </c>
    </row>
    <row r="398" spans="1:10" x14ac:dyDescent="0.2">
      <c r="A398" t="s">
        <v>583</v>
      </c>
      <c r="B398" t="s">
        <v>590</v>
      </c>
      <c r="C398" t="s">
        <v>12</v>
      </c>
      <c r="D398" t="s">
        <v>13</v>
      </c>
      <c r="E398">
        <v>39.25</v>
      </c>
      <c r="F398">
        <v>2144117</v>
      </c>
      <c r="G398" t="s">
        <v>591</v>
      </c>
      <c r="H398">
        <v>0</v>
      </c>
      <c r="I398">
        <v>0</v>
      </c>
      <c r="J398">
        <v>1.2738853503184711</v>
      </c>
    </row>
    <row r="399" spans="1:10" x14ac:dyDescent="0.2">
      <c r="A399" t="s">
        <v>583</v>
      </c>
      <c r="B399" t="s">
        <v>590</v>
      </c>
      <c r="C399" t="s">
        <v>12</v>
      </c>
      <c r="D399" t="s">
        <v>15</v>
      </c>
      <c r="E399">
        <v>39.25</v>
      </c>
      <c r="F399">
        <v>2144117</v>
      </c>
      <c r="G399" t="s">
        <v>16</v>
      </c>
      <c r="H399">
        <v>0</v>
      </c>
      <c r="I399">
        <v>0</v>
      </c>
      <c r="J399">
        <v>1.2738853503184711</v>
      </c>
    </row>
    <row r="400" spans="1:10" x14ac:dyDescent="0.2">
      <c r="A400" t="s">
        <v>583</v>
      </c>
      <c r="B400" t="s">
        <v>592</v>
      </c>
      <c r="C400" t="s">
        <v>12</v>
      </c>
      <c r="D400" t="s">
        <v>13</v>
      </c>
      <c r="E400" s="5">
        <v>39.5</v>
      </c>
      <c r="F400">
        <v>1833692</v>
      </c>
      <c r="G400" t="s">
        <v>593</v>
      </c>
      <c r="H400">
        <v>0</v>
      </c>
      <c r="I400" s="5">
        <v>-0.63291139240506333</v>
      </c>
      <c r="J400">
        <v>0.63291139240506333</v>
      </c>
    </row>
    <row r="401" spans="1:10" x14ac:dyDescent="0.2">
      <c r="A401" t="s">
        <v>583</v>
      </c>
      <c r="B401" t="s">
        <v>594</v>
      </c>
      <c r="C401" t="s">
        <v>12</v>
      </c>
      <c r="D401" t="s">
        <v>13</v>
      </c>
      <c r="E401">
        <v>39.25</v>
      </c>
      <c r="F401">
        <v>765530</v>
      </c>
      <c r="G401" t="s">
        <v>595</v>
      </c>
      <c r="H401">
        <v>0.63694267515923575</v>
      </c>
      <c r="I401">
        <v>0.63694267515923575</v>
      </c>
      <c r="J401">
        <v>0.63694267515923575</v>
      </c>
    </row>
    <row r="402" spans="1:10" x14ac:dyDescent="0.2">
      <c r="A402" t="s">
        <v>583</v>
      </c>
      <c r="B402" t="s">
        <v>596</v>
      </c>
      <c r="C402" t="s">
        <v>12</v>
      </c>
      <c r="D402" t="s">
        <v>13</v>
      </c>
      <c r="E402" s="5">
        <v>39.75</v>
      </c>
      <c r="F402">
        <v>2128490</v>
      </c>
      <c r="G402" t="s">
        <v>597</v>
      </c>
      <c r="H402">
        <v>-0.62893081761006298</v>
      </c>
      <c r="I402">
        <v>0</v>
      </c>
      <c r="J402">
        <v>0</v>
      </c>
    </row>
    <row r="403" spans="1:10" x14ac:dyDescent="0.2">
      <c r="A403" s="8" t="s">
        <v>583</v>
      </c>
      <c r="B403" s="8" t="s">
        <v>598</v>
      </c>
      <c r="C403" s="8" t="s">
        <v>12</v>
      </c>
      <c r="D403" s="8" t="s">
        <v>13</v>
      </c>
      <c r="E403" s="8">
        <v>39.5</v>
      </c>
      <c r="F403" s="8">
        <v>1512670</v>
      </c>
      <c r="G403" s="8" t="s">
        <v>599</v>
      </c>
      <c r="H403" s="8">
        <v>0.63291139240506333</v>
      </c>
      <c r="I403" s="8">
        <v>0</v>
      </c>
      <c r="J403" s="8">
        <v>0.63291139240506333</v>
      </c>
    </row>
    <row r="404" spans="1:10" x14ac:dyDescent="0.2">
      <c r="A404" t="s">
        <v>600</v>
      </c>
      <c r="B404" t="s">
        <v>601</v>
      </c>
      <c r="C404" t="s">
        <v>12</v>
      </c>
      <c r="D404" t="s">
        <v>35</v>
      </c>
      <c r="E404" s="4">
        <v>39</v>
      </c>
      <c r="F404">
        <v>0</v>
      </c>
      <c r="G404" t="s">
        <v>602</v>
      </c>
      <c r="H404">
        <v>0.64102564102564097</v>
      </c>
      <c r="I404">
        <v>0.64102564102564097</v>
      </c>
      <c r="J404">
        <v>1.2820512820512819</v>
      </c>
    </row>
    <row r="405" spans="1:10" x14ac:dyDescent="0.2">
      <c r="A405" t="s">
        <v>600</v>
      </c>
      <c r="B405" t="s">
        <v>603</v>
      </c>
      <c r="C405" t="s">
        <v>12</v>
      </c>
      <c r="D405" t="s">
        <v>13</v>
      </c>
      <c r="E405">
        <v>39</v>
      </c>
      <c r="F405">
        <v>391216</v>
      </c>
      <c r="G405" t="s">
        <v>604</v>
      </c>
      <c r="H405">
        <v>0.64102564102564097</v>
      </c>
      <c r="I405">
        <v>0.64102564102564097</v>
      </c>
      <c r="J405">
        <v>1.2820512820512819</v>
      </c>
    </row>
    <row r="406" spans="1:10" x14ac:dyDescent="0.2">
      <c r="A406" t="s">
        <v>600</v>
      </c>
      <c r="B406" t="s">
        <v>603</v>
      </c>
      <c r="C406" t="s">
        <v>12</v>
      </c>
      <c r="D406" t="s">
        <v>15</v>
      </c>
      <c r="E406">
        <v>39</v>
      </c>
      <c r="F406">
        <v>391216</v>
      </c>
      <c r="G406" t="s">
        <v>16</v>
      </c>
      <c r="H406">
        <v>0.64102564102564097</v>
      </c>
      <c r="I406">
        <v>0.64102564102564097</v>
      </c>
      <c r="J406">
        <v>1.2820512820512819</v>
      </c>
    </row>
    <row r="407" spans="1:10" x14ac:dyDescent="0.2">
      <c r="A407" t="s">
        <v>600</v>
      </c>
      <c r="B407" t="s">
        <v>605</v>
      </c>
      <c r="C407" t="s">
        <v>12</v>
      </c>
      <c r="D407" t="s">
        <v>13</v>
      </c>
      <c r="E407" s="5">
        <v>39.25</v>
      </c>
      <c r="F407">
        <v>2786109</v>
      </c>
      <c r="G407" t="s">
        <v>606</v>
      </c>
      <c r="H407">
        <v>-0.63694267515923575</v>
      </c>
      <c r="I407">
        <v>0.63694267515923575</v>
      </c>
      <c r="J407">
        <v>-0.63694267515923575</v>
      </c>
    </row>
    <row r="408" spans="1:10" x14ac:dyDescent="0.2">
      <c r="A408" t="s">
        <v>600</v>
      </c>
      <c r="B408" t="s">
        <v>607</v>
      </c>
      <c r="C408" t="s">
        <v>12</v>
      </c>
      <c r="D408" t="s">
        <v>13</v>
      </c>
      <c r="E408" s="4">
        <v>39</v>
      </c>
      <c r="F408">
        <v>1132071</v>
      </c>
      <c r="G408" t="s">
        <v>608</v>
      </c>
      <c r="H408">
        <v>1.2820512820512819</v>
      </c>
      <c r="I408">
        <v>0</v>
      </c>
      <c r="J408">
        <v>0.64102564102564097</v>
      </c>
    </row>
    <row r="409" spans="1:10" x14ac:dyDescent="0.2">
      <c r="A409" t="s">
        <v>600</v>
      </c>
      <c r="B409" t="s">
        <v>609</v>
      </c>
      <c r="C409" t="s">
        <v>12</v>
      </c>
      <c r="D409" t="s">
        <v>13</v>
      </c>
      <c r="E409" s="5">
        <v>39.5</v>
      </c>
      <c r="F409">
        <v>1759939</v>
      </c>
      <c r="G409" t="s">
        <v>610</v>
      </c>
      <c r="H409">
        <v>0</v>
      </c>
      <c r="I409">
        <v>-1.2658227848101271</v>
      </c>
      <c r="J409">
        <v>-1.2658227848101271</v>
      </c>
    </row>
    <row r="410" spans="1:10" x14ac:dyDescent="0.2">
      <c r="A410" t="s">
        <v>600</v>
      </c>
      <c r="B410" t="s">
        <v>611</v>
      </c>
      <c r="C410" t="s">
        <v>12</v>
      </c>
      <c r="D410" t="s">
        <v>13</v>
      </c>
      <c r="E410">
        <v>39</v>
      </c>
      <c r="F410">
        <v>2864680</v>
      </c>
      <c r="G410" t="s">
        <v>612</v>
      </c>
      <c r="H410">
        <v>0.64102564102564097</v>
      </c>
      <c r="I410">
        <v>0</v>
      </c>
      <c r="J410">
        <v>0</v>
      </c>
    </row>
    <row r="411" spans="1:10" x14ac:dyDescent="0.2">
      <c r="A411" t="s">
        <v>600</v>
      </c>
      <c r="B411" t="s">
        <v>613</v>
      </c>
      <c r="C411" t="s">
        <v>12</v>
      </c>
      <c r="D411" t="s">
        <v>13</v>
      </c>
      <c r="E411" s="4">
        <v>39.25</v>
      </c>
      <c r="F411">
        <v>394830</v>
      </c>
      <c r="G411" t="s">
        <v>614</v>
      </c>
      <c r="H411">
        <v>0</v>
      </c>
      <c r="I411" s="5">
        <v>-0.63694267515923575</v>
      </c>
      <c r="J411" s="4">
        <v>0.63694267515923575</v>
      </c>
    </row>
    <row r="412" spans="1:10" x14ac:dyDescent="0.2">
      <c r="A412" t="s">
        <v>600</v>
      </c>
      <c r="B412" t="s">
        <v>613</v>
      </c>
      <c r="C412" t="s">
        <v>12</v>
      </c>
      <c r="D412" t="s">
        <v>15</v>
      </c>
      <c r="E412">
        <v>39.25</v>
      </c>
      <c r="F412">
        <v>394830</v>
      </c>
      <c r="G412" t="s">
        <v>16</v>
      </c>
      <c r="H412">
        <v>0</v>
      </c>
      <c r="I412">
        <v>-0.63694267515923575</v>
      </c>
      <c r="J412">
        <v>0.63694267515923575</v>
      </c>
    </row>
    <row r="413" spans="1:10" x14ac:dyDescent="0.2">
      <c r="A413" t="s">
        <v>600</v>
      </c>
      <c r="B413" t="s">
        <v>615</v>
      </c>
      <c r="C413" t="s">
        <v>12</v>
      </c>
      <c r="D413" t="s">
        <v>13</v>
      </c>
      <c r="E413" s="4">
        <v>39</v>
      </c>
      <c r="F413">
        <v>330400</v>
      </c>
      <c r="G413" t="s">
        <v>616</v>
      </c>
      <c r="H413">
        <v>0.64102564102564097</v>
      </c>
      <c r="I413">
        <v>0</v>
      </c>
      <c r="J413">
        <v>0</v>
      </c>
    </row>
    <row r="414" spans="1:10" x14ac:dyDescent="0.2">
      <c r="A414" s="8" t="s">
        <v>600</v>
      </c>
      <c r="B414" s="8" t="s">
        <v>617</v>
      </c>
      <c r="C414" s="8" t="s">
        <v>12</v>
      </c>
      <c r="D414" s="8" t="s">
        <v>13</v>
      </c>
      <c r="E414" s="14">
        <v>39.25</v>
      </c>
      <c r="F414" s="8">
        <v>355301</v>
      </c>
      <c r="G414" s="8" t="s">
        <v>618</v>
      </c>
      <c r="H414" s="8">
        <v>0</v>
      </c>
      <c r="I414" s="8">
        <v>0.63694267515923575</v>
      </c>
      <c r="J414" s="8">
        <v>0</v>
      </c>
    </row>
    <row r="415" spans="1:10" x14ac:dyDescent="0.2">
      <c r="A415" t="s">
        <v>619</v>
      </c>
      <c r="B415" t="s">
        <v>620</v>
      </c>
      <c r="C415" t="s">
        <v>12</v>
      </c>
      <c r="D415" t="s">
        <v>13</v>
      </c>
      <c r="E415" s="5">
        <v>39.5</v>
      </c>
      <c r="F415">
        <v>1169703</v>
      </c>
      <c r="G415" t="s">
        <v>621</v>
      </c>
      <c r="H415">
        <v>-1.2658227848101271</v>
      </c>
      <c r="I415">
        <v>-0.63291139240506333</v>
      </c>
      <c r="J415">
        <v>-0.63291139240506333</v>
      </c>
    </row>
    <row r="416" spans="1:10" x14ac:dyDescent="0.2">
      <c r="A416" t="s">
        <v>619</v>
      </c>
      <c r="B416" t="s">
        <v>622</v>
      </c>
      <c r="C416" t="s">
        <v>12</v>
      </c>
      <c r="D416" t="s">
        <v>13</v>
      </c>
      <c r="E416" s="4">
        <v>39</v>
      </c>
      <c r="F416">
        <v>1249741</v>
      </c>
      <c r="G416" t="s">
        <v>623</v>
      </c>
      <c r="H416">
        <v>0</v>
      </c>
      <c r="I416">
        <v>0.64102564102564097</v>
      </c>
      <c r="J416">
        <v>0</v>
      </c>
    </row>
    <row r="417" spans="1:10" x14ac:dyDescent="0.2">
      <c r="A417" t="s">
        <v>619</v>
      </c>
      <c r="B417" t="s">
        <v>624</v>
      </c>
      <c r="C417" t="s">
        <v>12</v>
      </c>
      <c r="D417" t="s">
        <v>13</v>
      </c>
      <c r="E417">
        <v>38.75</v>
      </c>
      <c r="F417">
        <v>1213400</v>
      </c>
      <c r="G417" t="s">
        <v>625</v>
      </c>
      <c r="H417">
        <v>0</v>
      </c>
      <c r="I417">
        <v>0.64516129032258063</v>
      </c>
      <c r="J417">
        <v>0.64516129032258063</v>
      </c>
    </row>
    <row r="418" spans="1:10" x14ac:dyDescent="0.2">
      <c r="A418" t="s">
        <v>619</v>
      </c>
      <c r="B418" t="s">
        <v>626</v>
      </c>
      <c r="C418" t="s">
        <v>12</v>
      </c>
      <c r="D418" t="s">
        <v>13</v>
      </c>
      <c r="E418" s="4">
        <v>38.75</v>
      </c>
      <c r="F418">
        <v>2617555</v>
      </c>
      <c r="G418" t="s">
        <v>627</v>
      </c>
      <c r="H418">
        <v>0</v>
      </c>
      <c r="I418">
        <v>0</v>
      </c>
      <c r="J418">
        <v>0.64516129032258063</v>
      </c>
    </row>
    <row r="419" spans="1:10" x14ac:dyDescent="0.2">
      <c r="A419" t="s">
        <v>619</v>
      </c>
      <c r="B419" t="s">
        <v>626</v>
      </c>
      <c r="C419" t="s">
        <v>12</v>
      </c>
      <c r="D419" t="s">
        <v>35</v>
      </c>
      <c r="E419">
        <v>38.75</v>
      </c>
      <c r="F419">
        <v>2617555</v>
      </c>
      <c r="G419" t="s">
        <v>109</v>
      </c>
      <c r="H419">
        <v>0</v>
      </c>
      <c r="I419">
        <v>0</v>
      </c>
      <c r="J419">
        <v>0.64516129032258063</v>
      </c>
    </row>
    <row r="420" spans="1:10" x14ac:dyDescent="0.2">
      <c r="A420" t="s">
        <v>619</v>
      </c>
      <c r="B420" t="s">
        <v>628</v>
      </c>
      <c r="C420" t="s">
        <v>12</v>
      </c>
      <c r="D420" t="s">
        <v>13</v>
      </c>
      <c r="E420" s="4">
        <v>38.75</v>
      </c>
      <c r="F420">
        <v>1035416</v>
      </c>
      <c r="G420" t="s">
        <v>629</v>
      </c>
      <c r="H420">
        <v>0.64516129032258063</v>
      </c>
      <c r="I420">
        <v>0.64516129032258063</v>
      </c>
      <c r="J420">
        <v>1.935483870967742</v>
      </c>
    </row>
    <row r="421" spans="1:10" x14ac:dyDescent="0.2">
      <c r="A421" s="8" t="s">
        <v>619</v>
      </c>
      <c r="B421" s="8" t="s">
        <v>628</v>
      </c>
      <c r="C421" s="8" t="s">
        <v>12</v>
      </c>
      <c r="D421" s="8" t="s">
        <v>15</v>
      </c>
      <c r="E421" s="8">
        <v>38.75</v>
      </c>
      <c r="F421" s="8">
        <v>1035416</v>
      </c>
      <c r="G421" s="8" t="s">
        <v>16</v>
      </c>
      <c r="H421" s="8">
        <v>0.64516129032258063</v>
      </c>
      <c r="I421" s="8">
        <v>0.64516129032258063</v>
      </c>
      <c r="J421" s="8">
        <v>1.935483870967742</v>
      </c>
    </row>
    <row r="422" spans="1:10" x14ac:dyDescent="0.2">
      <c r="A422" t="s">
        <v>630</v>
      </c>
      <c r="B422" t="s">
        <v>631</v>
      </c>
      <c r="C422" t="s">
        <v>12</v>
      </c>
      <c r="D422" t="s">
        <v>13</v>
      </c>
      <c r="E422" s="5">
        <v>39.5</v>
      </c>
      <c r="F422">
        <v>1262768</v>
      </c>
      <c r="G422" t="s">
        <v>632</v>
      </c>
      <c r="H422">
        <v>0</v>
      </c>
      <c r="I422">
        <v>0</v>
      </c>
      <c r="J422">
        <v>-1.2658227848101271</v>
      </c>
    </row>
    <row r="423" spans="1:10" x14ac:dyDescent="0.2">
      <c r="A423" t="s">
        <v>630</v>
      </c>
      <c r="B423" t="s">
        <v>633</v>
      </c>
      <c r="C423" t="s">
        <v>12</v>
      </c>
      <c r="D423" t="s">
        <v>13</v>
      </c>
      <c r="E423">
        <v>39.25</v>
      </c>
      <c r="F423">
        <v>2917400</v>
      </c>
      <c r="G423" t="s">
        <v>634</v>
      </c>
      <c r="H423">
        <v>0</v>
      </c>
      <c r="I423">
        <v>-0.63694267515923575</v>
      </c>
      <c r="J423">
        <v>0</v>
      </c>
    </row>
    <row r="424" spans="1:10" x14ac:dyDescent="0.2">
      <c r="A424" t="s">
        <v>630</v>
      </c>
      <c r="B424" t="s">
        <v>635</v>
      </c>
      <c r="C424" t="s">
        <v>12</v>
      </c>
      <c r="D424" t="s">
        <v>13</v>
      </c>
      <c r="E424">
        <v>39.5</v>
      </c>
      <c r="F424">
        <v>1608810</v>
      </c>
      <c r="G424" t="s">
        <v>636</v>
      </c>
      <c r="H424">
        <v>0.63291139240506333</v>
      </c>
      <c r="I424">
        <v>0</v>
      </c>
      <c r="J424">
        <v>-0.63291139240506333</v>
      </c>
    </row>
    <row r="425" spans="1:10" x14ac:dyDescent="0.2">
      <c r="A425" t="s">
        <v>630</v>
      </c>
      <c r="B425" t="s">
        <v>637</v>
      </c>
      <c r="C425" t="s">
        <v>12</v>
      </c>
      <c r="D425" t="s">
        <v>13</v>
      </c>
      <c r="E425" s="5">
        <v>39.5</v>
      </c>
      <c r="F425">
        <v>2679433</v>
      </c>
      <c r="G425" t="s">
        <v>638</v>
      </c>
      <c r="H425">
        <v>0</v>
      </c>
      <c r="I425">
        <v>0</v>
      </c>
      <c r="J425">
        <v>-1.2658227848101271</v>
      </c>
    </row>
    <row r="426" spans="1:10" x14ac:dyDescent="0.2">
      <c r="A426" t="s">
        <v>630</v>
      </c>
      <c r="B426" t="s">
        <v>637</v>
      </c>
      <c r="C426" t="s">
        <v>12</v>
      </c>
      <c r="D426" t="s">
        <v>15</v>
      </c>
      <c r="E426">
        <v>39.5</v>
      </c>
      <c r="F426">
        <v>2679433</v>
      </c>
      <c r="G426" t="s">
        <v>16</v>
      </c>
      <c r="H426">
        <v>0</v>
      </c>
      <c r="I426">
        <v>0</v>
      </c>
      <c r="J426">
        <v>-1.2658227848101271</v>
      </c>
    </row>
    <row r="427" spans="1:10" x14ac:dyDescent="0.2">
      <c r="A427" s="8" t="s">
        <v>630</v>
      </c>
      <c r="B427" s="8" t="s">
        <v>639</v>
      </c>
      <c r="C427" s="8" t="s">
        <v>12</v>
      </c>
      <c r="D427" s="8" t="s">
        <v>13</v>
      </c>
      <c r="E427" s="14">
        <v>38.75</v>
      </c>
      <c r="F427" s="8">
        <v>853420</v>
      </c>
      <c r="G427" s="8" t="s">
        <v>640</v>
      </c>
      <c r="H427" s="8">
        <v>0.64516129032258063</v>
      </c>
      <c r="I427" s="8">
        <v>1.290322580645161</v>
      </c>
      <c r="J427" s="8">
        <v>1.290322580645161</v>
      </c>
    </row>
    <row r="428" spans="1:10" x14ac:dyDescent="0.2">
      <c r="A428" t="s">
        <v>641</v>
      </c>
      <c r="B428" t="s">
        <v>642</v>
      </c>
      <c r="C428" t="s">
        <v>12</v>
      </c>
      <c r="D428" t="s">
        <v>13</v>
      </c>
      <c r="E428">
        <v>39.25</v>
      </c>
      <c r="F428">
        <v>442421</v>
      </c>
      <c r="G428" t="s">
        <v>643</v>
      </c>
      <c r="H428">
        <v>0.63694267515923575</v>
      </c>
      <c r="I428">
        <v>0.63694267515923575</v>
      </c>
      <c r="J428">
        <v>1.2738853503184711</v>
      </c>
    </row>
    <row r="429" spans="1:10" x14ac:dyDescent="0.2">
      <c r="A429" t="s">
        <v>641</v>
      </c>
      <c r="B429" t="s">
        <v>642</v>
      </c>
      <c r="C429" t="s">
        <v>12</v>
      </c>
      <c r="D429" t="s">
        <v>15</v>
      </c>
      <c r="E429" s="4">
        <v>39.25</v>
      </c>
      <c r="F429">
        <v>442421</v>
      </c>
      <c r="G429" t="s">
        <v>16</v>
      </c>
      <c r="H429">
        <v>0.63694267515923575</v>
      </c>
      <c r="I429">
        <v>0.63694267515923575</v>
      </c>
      <c r="J429">
        <v>1.2738853503184711</v>
      </c>
    </row>
    <row r="430" spans="1:10" x14ac:dyDescent="0.2">
      <c r="A430" t="s">
        <v>641</v>
      </c>
      <c r="B430" t="s">
        <v>644</v>
      </c>
      <c r="C430" t="s">
        <v>12</v>
      </c>
      <c r="D430" t="s">
        <v>13</v>
      </c>
      <c r="E430" s="4">
        <v>39.5</v>
      </c>
      <c r="F430">
        <v>844103</v>
      </c>
      <c r="G430" t="s">
        <v>645</v>
      </c>
      <c r="H430">
        <v>-0.63291139240506333</v>
      </c>
      <c r="I430">
        <v>0.63291139240506333</v>
      </c>
      <c r="J430">
        <v>0.63291139240506333</v>
      </c>
    </row>
    <row r="431" spans="1:10" x14ac:dyDescent="0.2">
      <c r="A431" t="s">
        <v>641</v>
      </c>
      <c r="B431" t="s">
        <v>646</v>
      </c>
      <c r="C431" t="s">
        <v>12</v>
      </c>
      <c r="D431" t="s">
        <v>13</v>
      </c>
      <c r="E431" s="4">
        <v>39.25</v>
      </c>
      <c r="F431">
        <v>2375931</v>
      </c>
      <c r="G431" t="s">
        <v>647</v>
      </c>
      <c r="H431">
        <v>1.2738853503184711</v>
      </c>
      <c r="I431">
        <v>0.63694267515923575</v>
      </c>
      <c r="J431">
        <v>1.2738853503184711</v>
      </c>
    </row>
    <row r="432" spans="1:10" x14ac:dyDescent="0.2">
      <c r="A432" t="s">
        <v>641</v>
      </c>
      <c r="B432" t="s">
        <v>648</v>
      </c>
      <c r="C432" t="s">
        <v>12</v>
      </c>
      <c r="D432" t="s">
        <v>13</v>
      </c>
      <c r="E432" s="5">
        <v>39.75</v>
      </c>
      <c r="F432">
        <v>4167173</v>
      </c>
      <c r="G432" t="s">
        <v>649</v>
      </c>
      <c r="H432">
        <v>-0.62893081761006298</v>
      </c>
      <c r="I432">
        <v>0</v>
      </c>
      <c r="J432">
        <v>0</v>
      </c>
    </row>
    <row r="433" spans="1:10" x14ac:dyDescent="0.2">
      <c r="A433" t="s">
        <v>641</v>
      </c>
      <c r="B433" t="s">
        <v>650</v>
      </c>
      <c r="C433" t="s">
        <v>12</v>
      </c>
      <c r="D433" t="s">
        <v>13</v>
      </c>
      <c r="E433">
        <v>39.75</v>
      </c>
      <c r="F433">
        <v>1501155</v>
      </c>
      <c r="G433" t="s">
        <v>651</v>
      </c>
      <c r="H433">
        <v>0.62893081761006298</v>
      </c>
      <c r="I433">
        <v>0.62893081761006298</v>
      </c>
      <c r="J433">
        <v>0.62893081761006298</v>
      </c>
    </row>
    <row r="434" spans="1:10" x14ac:dyDescent="0.2">
      <c r="A434" t="s">
        <v>641</v>
      </c>
      <c r="B434" t="s">
        <v>650</v>
      </c>
      <c r="C434" t="s">
        <v>12</v>
      </c>
      <c r="D434" t="s">
        <v>15</v>
      </c>
      <c r="E434" s="4">
        <v>39.75</v>
      </c>
      <c r="F434">
        <v>1501155</v>
      </c>
      <c r="G434" t="s">
        <v>16</v>
      </c>
      <c r="H434">
        <v>0.62893081761006298</v>
      </c>
      <c r="I434">
        <v>0.62893081761006298</v>
      </c>
      <c r="J434">
        <v>0.62893081761006298</v>
      </c>
    </row>
    <row r="435" spans="1:10" x14ac:dyDescent="0.2">
      <c r="A435" t="s">
        <v>641</v>
      </c>
      <c r="B435" t="s">
        <v>652</v>
      </c>
      <c r="C435" t="s">
        <v>12</v>
      </c>
      <c r="D435" t="s">
        <v>13</v>
      </c>
      <c r="E435" s="5">
        <v>40</v>
      </c>
      <c r="F435">
        <v>747560</v>
      </c>
      <c r="G435" t="s">
        <v>653</v>
      </c>
      <c r="H435">
        <v>0</v>
      </c>
      <c r="I435">
        <v>0</v>
      </c>
      <c r="J435">
        <v>-0.625</v>
      </c>
    </row>
    <row r="436" spans="1:10" x14ac:dyDescent="0.2">
      <c r="A436" s="8" t="s">
        <v>641</v>
      </c>
      <c r="B436" s="8" t="s">
        <v>654</v>
      </c>
      <c r="C436" s="8" t="s">
        <v>12</v>
      </c>
      <c r="D436" s="8" t="s">
        <v>13</v>
      </c>
      <c r="E436" s="8">
        <v>39.75</v>
      </c>
      <c r="F436" s="8">
        <v>1551579</v>
      </c>
      <c r="G436" s="8" t="s">
        <v>655</v>
      </c>
      <c r="H436" s="8">
        <v>0</v>
      </c>
      <c r="I436" s="8">
        <v>0</v>
      </c>
      <c r="J436" s="8">
        <v>0</v>
      </c>
    </row>
    <row r="437" spans="1:10" x14ac:dyDescent="0.2">
      <c r="A437" t="s">
        <v>656</v>
      </c>
      <c r="B437" t="s">
        <v>657</v>
      </c>
      <c r="C437" t="s">
        <v>12</v>
      </c>
      <c r="D437" t="s">
        <v>13</v>
      </c>
      <c r="E437">
        <v>39.75</v>
      </c>
      <c r="F437">
        <v>2521139</v>
      </c>
      <c r="G437" t="s">
        <v>658</v>
      </c>
      <c r="H437">
        <v>0</v>
      </c>
      <c r="I437">
        <v>0</v>
      </c>
      <c r="J437">
        <v>0</v>
      </c>
    </row>
    <row r="438" spans="1:10" x14ac:dyDescent="0.2">
      <c r="A438" t="s">
        <v>656</v>
      </c>
      <c r="B438" t="s">
        <v>657</v>
      </c>
      <c r="C438" t="s">
        <v>12</v>
      </c>
      <c r="D438" t="s">
        <v>15</v>
      </c>
      <c r="E438">
        <v>39.75</v>
      </c>
      <c r="F438">
        <v>2521139</v>
      </c>
      <c r="G438" t="s">
        <v>16</v>
      </c>
      <c r="H438">
        <v>0</v>
      </c>
      <c r="I438">
        <v>0</v>
      </c>
      <c r="J438">
        <v>0</v>
      </c>
    </row>
    <row r="439" spans="1:10" x14ac:dyDescent="0.2">
      <c r="A439" t="s">
        <v>656</v>
      </c>
      <c r="B439" t="s">
        <v>659</v>
      </c>
      <c r="C439" t="s">
        <v>12</v>
      </c>
      <c r="D439" t="s">
        <v>13</v>
      </c>
      <c r="E439" s="5">
        <v>40</v>
      </c>
      <c r="F439">
        <v>1174167</v>
      </c>
      <c r="G439" t="s">
        <v>660</v>
      </c>
      <c r="H439" s="5">
        <v>-0.625</v>
      </c>
      <c r="I439" s="5">
        <v>-0.625</v>
      </c>
      <c r="J439" s="5">
        <v>-0.625</v>
      </c>
    </row>
    <row r="440" spans="1:10" x14ac:dyDescent="0.2">
      <c r="A440" t="s">
        <v>656</v>
      </c>
      <c r="B440" t="s">
        <v>661</v>
      </c>
      <c r="C440" t="s">
        <v>12</v>
      </c>
      <c r="D440" t="s">
        <v>13</v>
      </c>
      <c r="E440">
        <v>40</v>
      </c>
      <c r="F440">
        <v>1503101</v>
      </c>
      <c r="G440" t="s">
        <v>662</v>
      </c>
      <c r="H440">
        <v>0</v>
      </c>
      <c r="I440">
        <v>0</v>
      </c>
      <c r="J440">
        <v>0</v>
      </c>
    </row>
    <row r="441" spans="1:10" x14ac:dyDescent="0.2">
      <c r="A441" t="s">
        <v>656</v>
      </c>
      <c r="B441" t="s">
        <v>663</v>
      </c>
      <c r="C441" t="s">
        <v>12</v>
      </c>
      <c r="D441" t="s">
        <v>13</v>
      </c>
      <c r="E441" s="5">
        <v>40</v>
      </c>
      <c r="F441">
        <v>555300</v>
      </c>
      <c r="G441" t="s">
        <v>664</v>
      </c>
      <c r="H441">
        <v>0</v>
      </c>
      <c r="I441">
        <v>-1.25</v>
      </c>
      <c r="J441">
        <v>-0.625</v>
      </c>
    </row>
    <row r="442" spans="1:10" x14ac:dyDescent="0.2">
      <c r="A442" t="s">
        <v>656</v>
      </c>
      <c r="B442" t="s">
        <v>663</v>
      </c>
      <c r="C442" t="s">
        <v>12</v>
      </c>
      <c r="D442" t="s">
        <v>15</v>
      </c>
      <c r="E442">
        <v>40</v>
      </c>
      <c r="F442">
        <v>555300</v>
      </c>
      <c r="G442" t="s">
        <v>16</v>
      </c>
      <c r="H442">
        <v>0</v>
      </c>
      <c r="I442">
        <v>-1.25</v>
      </c>
      <c r="J442">
        <v>-0.625</v>
      </c>
    </row>
    <row r="443" spans="1:10" x14ac:dyDescent="0.2">
      <c r="A443" t="s">
        <v>656</v>
      </c>
      <c r="B443" t="s">
        <v>665</v>
      </c>
      <c r="C443" t="s">
        <v>12</v>
      </c>
      <c r="D443" t="s">
        <v>13</v>
      </c>
      <c r="E443" s="4">
        <v>39.5</v>
      </c>
      <c r="F443">
        <v>1617600</v>
      </c>
      <c r="G443" t="s">
        <v>666</v>
      </c>
      <c r="H443">
        <v>0.63291139240506333</v>
      </c>
      <c r="I443">
        <v>0.63291139240506333</v>
      </c>
      <c r="J443">
        <v>0.63291139240506333</v>
      </c>
    </row>
    <row r="444" spans="1:10" x14ac:dyDescent="0.2">
      <c r="A444" t="s">
        <v>656</v>
      </c>
      <c r="B444" t="s">
        <v>667</v>
      </c>
      <c r="C444" t="s">
        <v>12</v>
      </c>
      <c r="D444" t="s">
        <v>13</v>
      </c>
      <c r="E444">
        <v>39.5</v>
      </c>
      <c r="F444">
        <v>2867601</v>
      </c>
      <c r="G444" t="s">
        <v>668</v>
      </c>
      <c r="H444">
        <v>0</v>
      </c>
      <c r="I444">
        <v>0.63291139240506333</v>
      </c>
      <c r="J444">
        <v>0.63291139240506333</v>
      </c>
    </row>
    <row r="445" spans="1:10" x14ac:dyDescent="0.2">
      <c r="A445" t="s">
        <v>656</v>
      </c>
      <c r="B445" t="s">
        <v>667</v>
      </c>
      <c r="C445" t="s">
        <v>12</v>
      </c>
      <c r="D445" t="s">
        <v>15</v>
      </c>
      <c r="E445">
        <v>39.5</v>
      </c>
      <c r="F445">
        <v>2867601</v>
      </c>
      <c r="G445" t="s">
        <v>16</v>
      </c>
      <c r="H445">
        <v>0</v>
      </c>
      <c r="I445">
        <v>0.63291139240506333</v>
      </c>
      <c r="J445">
        <v>0.63291139240506333</v>
      </c>
    </row>
    <row r="446" spans="1:10" x14ac:dyDescent="0.2">
      <c r="A446" s="8" t="s">
        <v>656</v>
      </c>
      <c r="B446" s="8" t="s">
        <v>669</v>
      </c>
      <c r="C446" s="8" t="s">
        <v>12</v>
      </c>
      <c r="D446" s="8" t="s">
        <v>13</v>
      </c>
      <c r="E446" s="16">
        <v>40</v>
      </c>
      <c r="F446" s="8">
        <v>958400</v>
      </c>
      <c r="G446" s="8" t="s">
        <v>670</v>
      </c>
      <c r="H446" s="8">
        <v>0</v>
      </c>
      <c r="I446" s="8">
        <v>-1.875</v>
      </c>
      <c r="J446" s="8">
        <v>-1.875</v>
      </c>
    </row>
    <row r="447" spans="1:10" x14ac:dyDescent="0.2">
      <c r="A447" t="s">
        <v>671</v>
      </c>
      <c r="B447" t="s">
        <v>672</v>
      </c>
      <c r="C447" t="s">
        <v>12</v>
      </c>
      <c r="D447" t="s">
        <v>35</v>
      </c>
      <c r="E447">
        <v>39.25</v>
      </c>
      <c r="F447">
        <v>0</v>
      </c>
      <c r="G447" t="s">
        <v>152</v>
      </c>
      <c r="H447">
        <v>0</v>
      </c>
      <c r="I447">
        <v>0</v>
      </c>
      <c r="J447">
        <v>0</v>
      </c>
    </row>
    <row r="448" spans="1:10" x14ac:dyDescent="0.2">
      <c r="A448" t="s">
        <v>671</v>
      </c>
      <c r="B448" t="s">
        <v>673</v>
      </c>
      <c r="C448" t="s">
        <v>12</v>
      </c>
      <c r="D448" t="s">
        <v>13</v>
      </c>
      <c r="E448" s="4">
        <v>39.25</v>
      </c>
      <c r="F448">
        <v>591721</v>
      </c>
      <c r="G448" t="s">
        <v>674</v>
      </c>
      <c r="H448">
        <v>0.63694267515923575</v>
      </c>
      <c r="I448">
        <v>0</v>
      </c>
      <c r="J448">
        <v>0.63694267515923575</v>
      </c>
    </row>
    <row r="449" spans="1:10" x14ac:dyDescent="0.2">
      <c r="A449" t="s">
        <v>671</v>
      </c>
      <c r="B449" t="s">
        <v>673</v>
      </c>
      <c r="C449" t="s">
        <v>12</v>
      </c>
      <c r="D449" t="s">
        <v>15</v>
      </c>
      <c r="E449">
        <v>39.25</v>
      </c>
      <c r="F449">
        <v>591721</v>
      </c>
      <c r="G449" t="s">
        <v>16</v>
      </c>
      <c r="H449">
        <v>0.63694267515923575</v>
      </c>
      <c r="I449">
        <v>0</v>
      </c>
      <c r="J449">
        <v>0.63694267515923575</v>
      </c>
    </row>
    <row r="450" spans="1:10" x14ac:dyDescent="0.2">
      <c r="A450" t="s">
        <v>671</v>
      </c>
      <c r="B450" t="s">
        <v>675</v>
      </c>
      <c r="C450" t="s">
        <v>12</v>
      </c>
      <c r="D450" t="s">
        <v>13</v>
      </c>
      <c r="E450">
        <v>39.25</v>
      </c>
      <c r="F450">
        <v>964172</v>
      </c>
      <c r="G450" t="s">
        <v>676</v>
      </c>
      <c r="H450">
        <v>0</v>
      </c>
      <c r="I450">
        <v>0</v>
      </c>
      <c r="J450">
        <v>0</v>
      </c>
    </row>
    <row r="451" spans="1:10" x14ac:dyDescent="0.2">
      <c r="A451" t="s">
        <v>671</v>
      </c>
      <c r="B451" t="s">
        <v>675</v>
      </c>
      <c r="C451" t="s">
        <v>12</v>
      </c>
      <c r="D451" t="s">
        <v>15</v>
      </c>
      <c r="E451">
        <v>39.25</v>
      </c>
      <c r="F451">
        <v>964172</v>
      </c>
      <c r="G451" t="s">
        <v>16</v>
      </c>
      <c r="H451">
        <v>0</v>
      </c>
      <c r="I451">
        <v>0</v>
      </c>
      <c r="J451">
        <v>0</v>
      </c>
    </row>
    <row r="452" spans="1:10" x14ac:dyDescent="0.2">
      <c r="A452" t="s">
        <v>671</v>
      </c>
      <c r="B452" t="s">
        <v>677</v>
      </c>
      <c r="C452" t="s">
        <v>12</v>
      </c>
      <c r="D452" t="s">
        <v>13</v>
      </c>
      <c r="E452" s="5">
        <v>39.5</v>
      </c>
      <c r="F452">
        <v>845461</v>
      </c>
      <c r="G452" t="s">
        <v>678</v>
      </c>
      <c r="H452">
        <v>-0.63291139240506333</v>
      </c>
      <c r="I452">
        <v>-0.63291139240506333</v>
      </c>
      <c r="J452">
        <v>0</v>
      </c>
    </row>
    <row r="453" spans="1:10" x14ac:dyDescent="0.2">
      <c r="A453" t="s">
        <v>671</v>
      </c>
      <c r="B453" t="s">
        <v>677</v>
      </c>
      <c r="C453" t="s">
        <v>12</v>
      </c>
      <c r="D453" t="s">
        <v>15</v>
      </c>
      <c r="E453">
        <v>39.5</v>
      </c>
      <c r="F453">
        <v>845461</v>
      </c>
      <c r="G453" t="s">
        <v>16</v>
      </c>
      <c r="H453">
        <v>-0.63291139240506333</v>
      </c>
      <c r="I453">
        <v>-0.63291139240506333</v>
      </c>
      <c r="J453">
        <v>0</v>
      </c>
    </row>
    <row r="454" spans="1:10" x14ac:dyDescent="0.2">
      <c r="A454" t="s">
        <v>671</v>
      </c>
      <c r="B454" t="s">
        <v>679</v>
      </c>
      <c r="C454" t="s">
        <v>12</v>
      </c>
      <c r="D454" t="s">
        <v>13</v>
      </c>
      <c r="E454" s="4">
        <v>39.25</v>
      </c>
      <c r="F454">
        <v>250301</v>
      </c>
      <c r="G454" t="s">
        <v>680</v>
      </c>
      <c r="H454" s="4">
        <v>1.2738853503184711</v>
      </c>
      <c r="I454" s="4">
        <v>1.2738853503184711</v>
      </c>
      <c r="J454" s="4">
        <v>1.2738853503184711</v>
      </c>
    </row>
    <row r="455" spans="1:10" x14ac:dyDescent="0.2">
      <c r="A455" t="s">
        <v>671</v>
      </c>
      <c r="B455" t="s">
        <v>679</v>
      </c>
      <c r="C455" t="s">
        <v>12</v>
      </c>
      <c r="D455" t="s">
        <v>15</v>
      </c>
      <c r="E455">
        <v>39.25</v>
      </c>
      <c r="F455">
        <v>250301</v>
      </c>
      <c r="G455" t="s">
        <v>16</v>
      </c>
      <c r="H455">
        <v>1.2738853503184711</v>
      </c>
      <c r="I455">
        <v>1.2738853503184711</v>
      </c>
      <c r="J455">
        <v>1.2738853503184711</v>
      </c>
    </row>
    <row r="456" spans="1:10" x14ac:dyDescent="0.2">
      <c r="A456" t="s">
        <v>671</v>
      </c>
      <c r="B456" t="s">
        <v>681</v>
      </c>
      <c r="C456" t="s">
        <v>12</v>
      </c>
      <c r="D456" t="s">
        <v>13</v>
      </c>
      <c r="E456" s="4">
        <v>39.5</v>
      </c>
      <c r="F456">
        <v>845105</v>
      </c>
      <c r="G456" t="s">
        <v>682</v>
      </c>
      <c r="H456">
        <v>0.63291139240506333</v>
      </c>
      <c r="I456">
        <v>0</v>
      </c>
      <c r="J456">
        <v>0</v>
      </c>
    </row>
    <row r="457" spans="1:10" x14ac:dyDescent="0.2">
      <c r="A457" t="s">
        <v>671</v>
      </c>
      <c r="B457" t="s">
        <v>681</v>
      </c>
      <c r="C457" t="s">
        <v>12</v>
      </c>
      <c r="D457" t="s">
        <v>15</v>
      </c>
      <c r="E457">
        <v>39.5</v>
      </c>
      <c r="F457">
        <v>845105</v>
      </c>
      <c r="G457" t="s">
        <v>16</v>
      </c>
      <c r="H457">
        <v>0.63291139240506333</v>
      </c>
      <c r="I457">
        <v>0</v>
      </c>
      <c r="J457">
        <v>0</v>
      </c>
    </row>
    <row r="458" spans="1:10" x14ac:dyDescent="0.2">
      <c r="A458" t="s">
        <v>671</v>
      </c>
      <c r="B458" t="s">
        <v>683</v>
      </c>
      <c r="C458" t="s">
        <v>12</v>
      </c>
      <c r="D458" t="s">
        <v>13</v>
      </c>
      <c r="E458" s="5">
        <v>39.75</v>
      </c>
      <c r="F458">
        <v>825922</v>
      </c>
      <c r="G458" t="s">
        <v>684</v>
      </c>
      <c r="H458">
        <v>0</v>
      </c>
      <c r="I458">
        <v>0</v>
      </c>
      <c r="J458" s="5">
        <v>-0.62893081761006298</v>
      </c>
    </row>
    <row r="459" spans="1:10" x14ac:dyDescent="0.2">
      <c r="A459" t="s">
        <v>671</v>
      </c>
      <c r="B459" t="s">
        <v>685</v>
      </c>
      <c r="C459" t="s">
        <v>12</v>
      </c>
      <c r="D459" t="s">
        <v>13</v>
      </c>
      <c r="E459">
        <v>39.25</v>
      </c>
      <c r="F459">
        <v>1171421</v>
      </c>
      <c r="G459" t="s">
        <v>686</v>
      </c>
      <c r="H459">
        <v>0.63694267515923575</v>
      </c>
      <c r="I459">
        <v>0</v>
      </c>
      <c r="J459">
        <v>0</v>
      </c>
    </row>
    <row r="460" spans="1:10" x14ac:dyDescent="0.2">
      <c r="A460" t="s">
        <v>671</v>
      </c>
      <c r="B460" t="s">
        <v>685</v>
      </c>
      <c r="C460" t="s">
        <v>12</v>
      </c>
      <c r="D460" t="s">
        <v>13</v>
      </c>
      <c r="E460" s="4">
        <v>39.25</v>
      </c>
      <c r="F460">
        <v>1171421</v>
      </c>
      <c r="G460" t="s">
        <v>686</v>
      </c>
      <c r="H460">
        <v>0.63694267515923575</v>
      </c>
      <c r="I460">
        <v>0</v>
      </c>
      <c r="J460">
        <v>0</v>
      </c>
    </row>
    <row r="461" spans="1:10" x14ac:dyDescent="0.2">
      <c r="A461" t="s">
        <v>671</v>
      </c>
      <c r="B461" t="s">
        <v>685</v>
      </c>
      <c r="C461" t="s">
        <v>12</v>
      </c>
      <c r="D461" t="s">
        <v>35</v>
      </c>
      <c r="E461">
        <v>39.25</v>
      </c>
      <c r="F461">
        <v>1171421</v>
      </c>
      <c r="G461" t="s">
        <v>109</v>
      </c>
      <c r="H461">
        <v>0.63694267515923575</v>
      </c>
      <c r="I461">
        <v>0</v>
      </c>
      <c r="J461">
        <v>0</v>
      </c>
    </row>
    <row r="462" spans="1:10" x14ac:dyDescent="0.2">
      <c r="A462" t="s">
        <v>671</v>
      </c>
      <c r="B462" t="s">
        <v>687</v>
      </c>
      <c r="C462" t="s">
        <v>12</v>
      </c>
      <c r="D462" t="s">
        <v>13</v>
      </c>
      <c r="E462">
        <v>39.25</v>
      </c>
      <c r="F462">
        <v>239501</v>
      </c>
      <c r="G462" t="s">
        <v>688</v>
      </c>
      <c r="H462">
        <v>0.63694267515923575</v>
      </c>
      <c r="I462">
        <v>0</v>
      </c>
      <c r="J462">
        <v>0</v>
      </c>
    </row>
    <row r="463" spans="1:10" x14ac:dyDescent="0.2">
      <c r="A463" t="s">
        <v>671</v>
      </c>
      <c r="B463" t="s">
        <v>687</v>
      </c>
      <c r="C463" t="s">
        <v>12</v>
      </c>
      <c r="D463" t="s">
        <v>15</v>
      </c>
      <c r="E463">
        <v>39.25</v>
      </c>
      <c r="F463">
        <v>239501</v>
      </c>
      <c r="G463" t="s">
        <v>16</v>
      </c>
      <c r="H463">
        <v>0.63694267515923575</v>
      </c>
      <c r="I463">
        <v>0</v>
      </c>
      <c r="J463">
        <v>0</v>
      </c>
    </row>
    <row r="464" spans="1:10" x14ac:dyDescent="0.2">
      <c r="A464" s="8" t="s">
        <v>671</v>
      </c>
      <c r="B464" s="8" t="s">
        <v>689</v>
      </c>
      <c r="C464" s="8" t="s">
        <v>12</v>
      </c>
      <c r="D464" s="8" t="s">
        <v>13</v>
      </c>
      <c r="E464" s="8">
        <v>39.5</v>
      </c>
      <c r="F464" s="8">
        <v>260815</v>
      </c>
      <c r="G464" s="8" t="s">
        <v>690</v>
      </c>
      <c r="H464" s="8">
        <v>0</v>
      </c>
      <c r="I464" s="8">
        <v>0</v>
      </c>
      <c r="J464" s="8"/>
    </row>
    <row r="465" spans="1:22" x14ac:dyDescent="0.2">
      <c r="A465" t="s">
        <v>691</v>
      </c>
      <c r="B465" t="s">
        <v>692</v>
      </c>
      <c r="C465" t="s">
        <v>12</v>
      </c>
      <c r="D465" t="s">
        <v>13</v>
      </c>
      <c r="E465">
        <v>39.5</v>
      </c>
      <c r="F465">
        <v>1079079</v>
      </c>
      <c r="G465" t="s">
        <v>694</v>
      </c>
      <c r="H465" s="17">
        <v>0.63291139240506333</v>
      </c>
      <c r="I465">
        <v>0</v>
      </c>
      <c r="J465" s="5">
        <v>-0.63291139240506333</v>
      </c>
      <c r="M465" t="s">
        <v>691</v>
      </c>
      <c r="N465" t="s">
        <v>692</v>
      </c>
      <c r="O465" t="s">
        <v>12</v>
      </c>
      <c r="P465" t="s">
        <v>13</v>
      </c>
      <c r="Q465">
        <v>39.5</v>
      </c>
      <c r="R465">
        <v>1079079</v>
      </c>
      <c r="S465" t="s">
        <v>694</v>
      </c>
      <c r="T465" s="17">
        <v>0.63291139240506333</v>
      </c>
      <c r="U465">
        <v>0</v>
      </c>
      <c r="V465" s="5">
        <v>-0.63291139240506333</v>
      </c>
    </row>
    <row r="466" spans="1:22" x14ac:dyDescent="0.2">
      <c r="A466" t="s">
        <v>691</v>
      </c>
      <c r="B466" t="s">
        <v>692</v>
      </c>
      <c r="C466" t="s">
        <v>12</v>
      </c>
      <c r="D466" t="s">
        <v>35</v>
      </c>
      <c r="E466" s="4">
        <v>39.5</v>
      </c>
      <c r="F466">
        <v>1079079</v>
      </c>
      <c r="G466" t="s">
        <v>109</v>
      </c>
      <c r="H466" s="17">
        <v>0.63291139240506333</v>
      </c>
      <c r="I466">
        <v>0</v>
      </c>
      <c r="J466" s="5">
        <v>-0.63291139240506333</v>
      </c>
      <c r="M466" t="s">
        <v>691</v>
      </c>
      <c r="N466" t="s">
        <v>692</v>
      </c>
      <c r="O466" t="s">
        <v>12</v>
      </c>
      <c r="P466" t="s">
        <v>35</v>
      </c>
      <c r="Q466" s="4">
        <v>39.5</v>
      </c>
      <c r="R466">
        <v>1079079</v>
      </c>
      <c r="S466" t="s">
        <v>109</v>
      </c>
      <c r="T466" s="17">
        <v>0.63291139240506333</v>
      </c>
      <c r="U466">
        <v>0</v>
      </c>
      <c r="V466" s="5">
        <v>-0.63291139240506333</v>
      </c>
    </row>
    <row r="467" spans="1:22" x14ac:dyDescent="0.2">
      <c r="A467" t="s">
        <v>691</v>
      </c>
      <c r="B467" t="s">
        <v>692</v>
      </c>
      <c r="C467" t="s">
        <v>12</v>
      </c>
      <c r="D467" t="s">
        <v>15</v>
      </c>
      <c r="E467">
        <v>39.5</v>
      </c>
      <c r="F467">
        <v>1079079</v>
      </c>
      <c r="G467" t="s">
        <v>16</v>
      </c>
      <c r="H467" s="17">
        <v>0.63291139240506333</v>
      </c>
      <c r="I467">
        <v>0</v>
      </c>
      <c r="J467" s="5">
        <v>-0.63291139240506333</v>
      </c>
      <c r="M467" t="s">
        <v>691</v>
      </c>
      <c r="N467" t="s">
        <v>692</v>
      </c>
      <c r="O467" t="s">
        <v>12</v>
      </c>
      <c r="P467" t="s">
        <v>15</v>
      </c>
      <c r="Q467">
        <v>39.5</v>
      </c>
      <c r="R467">
        <v>1079079</v>
      </c>
      <c r="S467" t="s">
        <v>16</v>
      </c>
      <c r="T467" s="17">
        <v>0.63291139240506333</v>
      </c>
      <c r="U467">
        <v>0</v>
      </c>
      <c r="V467" s="5">
        <v>-0.63291139240506333</v>
      </c>
    </row>
    <row r="468" spans="1:22" x14ac:dyDescent="0.2">
      <c r="A468" t="s">
        <v>691</v>
      </c>
      <c r="B468" t="s">
        <v>693</v>
      </c>
      <c r="C468" t="s">
        <v>12</v>
      </c>
      <c r="D468" t="s">
        <v>13</v>
      </c>
      <c r="E468">
        <v>39.25</v>
      </c>
      <c r="F468">
        <v>390739</v>
      </c>
      <c r="G468" t="s">
        <v>695</v>
      </c>
      <c r="H468">
        <v>0</v>
      </c>
      <c r="I468">
        <v>0.63694267515923575</v>
      </c>
      <c r="J468">
        <v>0</v>
      </c>
      <c r="M468" t="s">
        <v>691</v>
      </c>
      <c r="N468" t="s">
        <v>693</v>
      </c>
      <c r="O468" t="s">
        <v>12</v>
      </c>
      <c r="P468" t="s">
        <v>13</v>
      </c>
      <c r="Q468">
        <v>39.25</v>
      </c>
      <c r="R468">
        <v>390739</v>
      </c>
      <c r="S468" t="s">
        <v>695</v>
      </c>
      <c r="T468">
        <v>0</v>
      </c>
      <c r="U468">
        <v>0.63694267515923575</v>
      </c>
      <c r="V468">
        <v>0</v>
      </c>
    </row>
    <row r="469" spans="1:22" x14ac:dyDescent="0.2">
      <c r="A469" t="s">
        <v>691</v>
      </c>
      <c r="B469" t="s">
        <v>696</v>
      </c>
      <c r="C469" t="s">
        <v>12</v>
      </c>
      <c r="D469" t="s">
        <v>13</v>
      </c>
      <c r="E469" s="4">
        <v>39.25</v>
      </c>
      <c r="F469">
        <v>392650</v>
      </c>
      <c r="G469" t="s">
        <v>697</v>
      </c>
      <c r="H469">
        <v>0.63694267515923575</v>
      </c>
      <c r="I469">
        <v>0.63694267515923575</v>
      </c>
      <c r="J469">
        <v>0.63694267515923575</v>
      </c>
      <c r="M469" t="s">
        <v>691</v>
      </c>
      <c r="N469" t="s">
        <v>696</v>
      </c>
      <c r="O469" t="s">
        <v>12</v>
      </c>
      <c r="P469" t="s">
        <v>13</v>
      </c>
      <c r="Q469" s="4">
        <v>39.25</v>
      </c>
      <c r="R469">
        <v>392650</v>
      </c>
      <c r="S469" t="s">
        <v>697</v>
      </c>
      <c r="T469">
        <v>0.63694267515923575</v>
      </c>
      <c r="U469">
        <v>0.63694267515923575</v>
      </c>
      <c r="V469">
        <v>0.63694267515923575</v>
      </c>
    </row>
    <row r="470" spans="1:22" x14ac:dyDescent="0.2">
      <c r="A470" t="s">
        <v>691</v>
      </c>
      <c r="B470" t="s">
        <v>698</v>
      </c>
      <c r="C470" t="s">
        <v>12</v>
      </c>
      <c r="D470" t="s">
        <v>13</v>
      </c>
      <c r="E470" s="4">
        <v>39.5</v>
      </c>
      <c r="F470">
        <v>260415</v>
      </c>
      <c r="G470" t="s">
        <v>699</v>
      </c>
      <c r="H470" s="4">
        <v>0</v>
      </c>
      <c r="I470" s="4">
        <v>0</v>
      </c>
      <c r="J470" s="4">
        <v>1.2658227848101271</v>
      </c>
      <c r="M470" t="s">
        <v>691</v>
      </c>
      <c r="N470" t="s">
        <v>698</v>
      </c>
      <c r="O470" t="s">
        <v>12</v>
      </c>
      <c r="P470" t="s">
        <v>13</v>
      </c>
      <c r="Q470">
        <v>39.5</v>
      </c>
      <c r="R470">
        <v>260415</v>
      </c>
      <c r="S470" t="s">
        <v>699</v>
      </c>
      <c r="T470">
        <v>0</v>
      </c>
      <c r="U470">
        <v>0</v>
      </c>
    </row>
    <row r="471" spans="1:22" x14ac:dyDescent="0.2">
      <c r="A471" t="s">
        <v>691</v>
      </c>
      <c r="B471" t="s">
        <v>700</v>
      </c>
      <c r="C471" t="s">
        <v>12</v>
      </c>
      <c r="D471" t="s">
        <v>13</v>
      </c>
      <c r="E471">
        <v>39.5</v>
      </c>
      <c r="F471">
        <v>2100395</v>
      </c>
      <c r="G471" t="s">
        <v>701</v>
      </c>
      <c r="H471">
        <v>0.63291139240506333</v>
      </c>
      <c r="I471">
        <v>0.63291139240506333</v>
      </c>
      <c r="J471">
        <v>1.89873417721519</v>
      </c>
      <c r="M471" t="s">
        <v>691</v>
      </c>
      <c r="N471" t="s">
        <v>700</v>
      </c>
      <c r="O471" t="s">
        <v>12</v>
      </c>
      <c r="P471" t="s">
        <v>13</v>
      </c>
      <c r="Q471" s="4">
        <v>39.5</v>
      </c>
      <c r="R471">
        <v>2100395</v>
      </c>
      <c r="S471" t="s">
        <v>701</v>
      </c>
      <c r="T471">
        <v>0.63291139240506333</v>
      </c>
      <c r="U471">
        <v>0.63291139240506333</v>
      </c>
    </row>
    <row r="472" spans="1:22" x14ac:dyDescent="0.2">
      <c r="A472" t="s">
        <v>691</v>
      </c>
      <c r="B472" t="s">
        <v>700</v>
      </c>
      <c r="C472" t="s">
        <v>12</v>
      </c>
      <c r="D472" t="s">
        <v>35</v>
      </c>
      <c r="E472">
        <v>39.5</v>
      </c>
      <c r="F472">
        <v>2100395</v>
      </c>
      <c r="G472" t="s">
        <v>109</v>
      </c>
      <c r="H472">
        <v>0.63291139240506333</v>
      </c>
      <c r="I472">
        <v>0.63291139240506333</v>
      </c>
      <c r="J472">
        <v>1.89873417721519</v>
      </c>
      <c r="M472" t="s">
        <v>691</v>
      </c>
      <c r="N472" t="s">
        <v>700</v>
      </c>
      <c r="O472" t="s">
        <v>12</v>
      </c>
      <c r="P472" t="s">
        <v>35</v>
      </c>
      <c r="Q472">
        <v>39.5</v>
      </c>
      <c r="R472">
        <v>2100395</v>
      </c>
      <c r="S472" t="s">
        <v>109</v>
      </c>
      <c r="T472">
        <v>0.63291139240506333</v>
      </c>
      <c r="U472">
        <v>0.63291139240506333</v>
      </c>
    </row>
    <row r="473" spans="1:22" x14ac:dyDescent="0.2">
      <c r="A473" t="s">
        <v>691</v>
      </c>
      <c r="B473" t="s">
        <v>700</v>
      </c>
      <c r="C473" t="s">
        <v>12</v>
      </c>
      <c r="D473" t="s">
        <v>15</v>
      </c>
      <c r="E473">
        <v>39.5</v>
      </c>
      <c r="F473">
        <v>2100395</v>
      </c>
      <c r="G473" t="s">
        <v>16</v>
      </c>
      <c r="H473">
        <v>0.63291139240506333</v>
      </c>
      <c r="I473">
        <v>0.63291139240506333</v>
      </c>
      <c r="J473">
        <v>1.89873417721519</v>
      </c>
      <c r="M473" t="s">
        <v>691</v>
      </c>
      <c r="N473" t="s">
        <v>700</v>
      </c>
      <c r="O473" t="s">
        <v>12</v>
      </c>
      <c r="P473" t="s">
        <v>15</v>
      </c>
      <c r="Q473">
        <v>39.5</v>
      </c>
      <c r="R473">
        <v>2100395</v>
      </c>
      <c r="S473" t="s">
        <v>16</v>
      </c>
      <c r="T473">
        <v>0.63291139240506333</v>
      </c>
      <c r="U473">
        <v>0.63291139240506333</v>
      </c>
    </row>
    <row r="474" spans="1:22" x14ac:dyDescent="0.2">
      <c r="A474" t="s">
        <v>691</v>
      </c>
      <c r="B474" t="s">
        <v>702</v>
      </c>
      <c r="C474" t="s">
        <v>12</v>
      </c>
      <c r="D474" t="s">
        <v>13</v>
      </c>
      <c r="E474" s="4">
        <v>39.75</v>
      </c>
      <c r="F474">
        <v>2844805</v>
      </c>
      <c r="G474" t="s">
        <v>704</v>
      </c>
      <c r="H474">
        <v>1.8867924528301889</v>
      </c>
      <c r="I474">
        <v>0.62893081761006298</v>
      </c>
      <c r="J474">
        <v>0.62893081761006298</v>
      </c>
      <c r="M474" t="s">
        <v>691</v>
      </c>
      <c r="N474" t="s">
        <v>702</v>
      </c>
      <c r="O474" t="s">
        <v>12</v>
      </c>
      <c r="P474" t="s">
        <v>13</v>
      </c>
      <c r="Q474">
        <v>39.75</v>
      </c>
      <c r="R474">
        <v>2844805</v>
      </c>
      <c r="S474" t="s">
        <v>703</v>
      </c>
    </row>
    <row r="475" spans="1:22" x14ac:dyDescent="0.2">
      <c r="A475" s="8" t="s">
        <v>691</v>
      </c>
      <c r="B475" s="8" t="s">
        <v>702</v>
      </c>
      <c r="C475" s="8" t="s">
        <v>12</v>
      </c>
      <c r="D475" s="8" t="s">
        <v>15</v>
      </c>
      <c r="E475" s="8">
        <v>39.75</v>
      </c>
      <c r="F475" s="8">
        <v>2844805</v>
      </c>
      <c r="G475" s="8" t="s">
        <v>16</v>
      </c>
      <c r="H475" s="8">
        <v>1.8867924528301889</v>
      </c>
      <c r="I475" s="8">
        <v>0.62893081761006298</v>
      </c>
      <c r="J475" s="8">
        <v>0.62893081761006298</v>
      </c>
      <c r="M475" s="8" t="s">
        <v>691</v>
      </c>
      <c r="N475" s="8" t="s">
        <v>702</v>
      </c>
      <c r="O475" s="8" t="s">
        <v>12</v>
      </c>
      <c r="P475" s="8" t="s">
        <v>15</v>
      </c>
      <c r="Q475" s="8">
        <v>39.75</v>
      </c>
      <c r="R475" s="8">
        <v>2844805</v>
      </c>
      <c r="S475" s="8" t="s">
        <v>16</v>
      </c>
      <c r="T475" s="8"/>
      <c r="U475" s="8"/>
      <c r="V475" s="8"/>
    </row>
    <row r="476" spans="1:22" x14ac:dyDescent="0.2">
      <c r="A476" t="s">
        <v>705</v>
      </c>
      <c r="B476" t="s">
        <v>706</v>
      </c>
      <c r="C476" t="s">
        <v>12</v>
      </c>
      <c r="D476" t="s">
        <v>35</v>
      </c>
      <c r="E476" s="5">
        <v>40.5</v>
      </c>
      <c r="F476">
        <v>0</v>
      </c>
      <c r="G476" t="s">
        <v>707</v>
      </c>
      <c r="H476">
        <v>-1.2345679012345681</v>
      </c>
      <c r="I476">
        <v>-0.61728395061728392</v>
      </c>
      <c r="J476">
        <v>-0.61728395061728392</v>
      </c>
    </row>
    <row r="477" spans="1:22" x14ac:dyDescent="0.2">
      <c r="A477" t="s">
        <v>705</v>
      </c>
      <c r="B477" t="s">
        <v>708</v>
      </c>
      <c r="C477" t="s">
        <v>12</v>
      </c>
      <c r="D477" t="s">
        <v>13</v>
      </c>
      <c r="E477">
        <v>40</v>
      </c>
      <c r="F477">
        <v>4450559</v>
      </c>
      <c r="G477" t="s">
        <v>712</v>
      </c>
      <c r="H477">
        <v>0</v>
      </c>
      <c r="I477">
        <v>0.625</v>
      </c>
      <c r="J477">
        <v>0.625</v>
      </c>
    </row>
    <row r="478" spans="1:22" x14ac:dyDescent="0.2">
      <c r="A478" t="s">
        <v>705</v>
      </c>
      <c r="B478" t="s">
        <v>708</v>
      </c>
      <c r="C478" t="s">
        <v>12</v>
      </c>
      <c r="D478" t="s">
        <v>35</v>
      </c>
      <c r="E478" s="4">
        <v>40</v>
      </c>
      <c r="F478">
        <v>4450559</v>
      </c>
      <c r="G478" t="s">
        <v>572</v>
      </c>
      <c r="H478">
        <v>0</v>
      </c>
      <c r="I478">
        <v>0.625</v>
      </c>
      <c r="J478">
        <v>0.625</v>
      </c>
    </row>
    <row r="479" spans="1:22" x14ac:dyDescent="0.2">
      <c r="A479" t="s">
        <v>705</v>
      </c>
      <c r="B479" t="s">
        <v>709</v>
      </c>
      <c r="C479" t="s">
        <v>12</v>
      </c>
      <c r="D479" t="s">
        <v>13</v>
      </c>
      <c r="E479">
        <v>40.25</v>
      </c>
      <c r="F479">
        <v>3372209</v>
      </c>
      <c r="G479" t="s">
        <v>713</v>
      </c>
      <c r="H479">
        <v>0.6211180124223602</v>
      </c>
      <c r="I479">
        <v>0.6211180124223602</v>
      </c>
      <c r="J479">
        <v>0.6211180124223602</v>
      </c>
    </row>
    <row r="480" spans="1:22" x14ac:dyDescent="0.2">
      <c r="A480" t="s">
        <v>705</v>
      </c>
      <c r="B480" t="s">
        <v>709</v>
      </c>
      <c r="C480" t="s">
        <v>12</v>
      </c>
      <c r="D480" t="s">
        <v>15</v>
      </c>
      <c r="E480" s="4">
        <v>40.25</v>
      </c>
      <c r="F480">
        <v>3372209</v>
      </c>
      <c r="G480" t="s">
        <v>16</v>
      </c>
      <c r="H480">
        <v>0.6211180124223602</v>
      </c>
      <c r="I480">
        <v>0.6211180124223602</v>
      </c>
      <c r="J480">
        <v>0.6211180124223602</v>
      </c>
    </row>
    <row r="481" spans="1:12" x14ac:dyDescent="0.2">
      <c r="A481" t="s">
        <v>705</v>
      </c>
      <c r="B481" t="s">
        <v>710</v>
      </c>
      <c r="C481" t="s">
        <v>12</v>
      </c>
      <c r="D481" t="s">
        <v>13</v>
      </c>
      <c r="E481">
        <v>40.5</v>
      </c>
      <c r="F481">
        <v>4551614</v>
      </c>
      <c r="G481" t="s">
        <v>714</v>
      </c>
      <c r="H481">
        <v>0</v>
      </c>
      <c r="I481">
        <v>0</v>
      </c>
      <c r="J481">
        <v>-0.61728395061728392</v>
      </c>
    </row>
    <row r="482" spans="1:12" x14ac:dyDescent="0.2">
      <c r="A482" t="s">
        <v>705</v>
      </c>
      <c r="B482" t="s">
        <v>710</v>
      </c>
      <c r="C482" t="s">
        <v>12</v>
      </c>
      <c r="D482" t="s">
        <v>15</v>
      </c>
      <c r="E482" s="5">
        <v>40.5</v>
      </c>
      <c r="F482">
        <v>4551614</v>
      </c>
      <c r="G482" t="s">
        <v>16</v>
      </c>
      <c r="H482">
        <v>0</v>
      </c>
      <c r="I482">
        <v>0</v>
      </c>
      <c r="J482">
        <v>-0.61728395061728392</v>
      </c>
    </row>
    <row r="483" spans="1:12" x14ac:dyDescent="0.2">
      <c r="A483" t="s">
        <v>705</v>
      </c>
      <c r="B483" t="s">
        <v>711</v>
      </c>
      <c r="C483" t="s">
        <v>12</v>
      </c>
      <c r="D483" t="s">
        <v>13</v>
      </c>
      <c r="E483" s="4">
        <v>40.25</v>
      </c>
      <c r="F483">
        <v>505601</v>
      </c>
      <c r="G483" t="s">
        <v>715</v>
      </c>
      <c r="H483">
        <v>0.6211180124223602</v>
      </c>
      <c r="I483">
        <v>0</v>
      </c>
    </row>
    <row r="484" spans="1:12" x14ac:dyDescent="0.2">
      <c r="A484" t="s">
        <v>705</v>
      </c>
      <c r="B484" t="s">
        <v>711</v>
      </c>
      <c r="C484" t="s">
        <v>12</v>
      </c>
      <c r="D484" t="s">
        <v>15</v>
      </c>
      <c r="E484">
        <v>40.25</v>
      </c>
      <c r="F484">
        <v>505601</v>
      </c>
      <c r="G484" t="s">
        <v>16</v>
      </c>
      <c r="H484">
        <v>0.6211180124223602</v>
      </c>
      <c r="I484">
        <v>0</v>
      </c>
    </row>
    <row r="485" spans="1:12" x14ac:dyDescent="0.2">
      <c r="A485" t="s">
        <v>705</v>
      </c>
      <c r="B485" t="s">
        <v>716</v>
      </c>
      <c r="C485" t="s">
        <v>12</v>
      </c>
      <c r="D485" t="s">
        <v>13</v>
      </c>
      <c r="E485">
        <v>40.25</v>
      </c>
      <c r="F485">
        <v>354403</v>
      </c>
      <c r="G485" t="s">
        <v>717</v>
      </c>
      <c r="H485">
        <v>0.6211180124223602</v>
      </c>
    </row>
    <row r="486" spans="1:12" x14ac:dyDescent="0.2">
      <c r="A486" s="8" t="s">
        <v>705</v>
      </c>
      <c r="B486" s="8" t="s">
        <v>716</v>
      </c>
      <c r="C486" s="8" t="s">
        <v>12</v>
      </c>
      <c r="D486" s="8" t="s">
        <v>15</v>
      </c>
      <c r="E486" s="8">
        <v>40.25</v>
      </c>
      <c r="F486" s="8">
        <v>354403</v>
      </c>
      <c r="G486" s="8" t="s">
        <v>16</v>
      </c>
      <c r="H486" s="8">
        <v>0.6211180124223602</v>
      </c>
      <c r="I486" s="8"/>
      <c r="J486" s="8"/>
    </row>
    <row r="489" spans="1:12" x14ac:dyDescent="0.2">
      <c r="A489" t="s">
        <v>691</v>
      </c>
      <c r="B489" t="s">
        <v>692</v>
      </c>
      <c r="C489" t="s">
        <v>12</v>
      </c>
      <c r="D489" t="s">
        <v>13</v>
      </c>
      <c r="E489" s="4">
        <v>39.5</v>
      </c>
      <c r="F489">
        <v>1079079</v>
      </c>
      <c r="G489" t="s">
        <v>694</v>
      </c>
      <c r="H489">
        <v>0.63291139240506333</v>
      </c>
      <c r="I489">
        <v>0.63291139240506333</v>
      </c>
      <c r="J489">
        <v>0.63291139240506333</v>
      </c>
      <c r="K489" s="18">
        <v>0</v>
      </c>
      <c r="L489">
        <v>-0.63291139240506333</v>
      </c>
    </row>
    <row r="490" spans="1:12" x14ac:dyDescent="0.2">
      <c r="A490" t="s">
        <v>691</v>
      </c>
      <c r="B490" t="s">
        <v>692</v>
      </c>
      <c r="C490" t="s">
        <v>12</v>
      </c>
      <c r="D490" t="s">
        <v>35</v>
      </c>
      <c r="E490">
        <v>39.5</v>
      </c>
      <c r="F490">
        <v>1079079</v>
      </c>
      <c r="G490" t="s">
        <v>109</v>
      </c>
      <c r="H490">
        <v>0.63291139240506333</v>
      </c>
      <c r="I490">
        <v>0.63291139240506333</v>
      </c>
      <c r="J490">
        <v>0.63291139240506333</v>
      </c>
      <c r="K490" s="18">
        <v>0</v>
      </c>
      <c r="L490">
        <v>-0.63291139240506333</v>
      </c>
    </row>
    <row r="491" spans="1:12" x14ac:dyDescent="0.2">
      <c r="A491" t="s">
        <v>691</v>
      </c>
      <c r="B491" t="s">
        <v>692</v>
      </c>
      <c r="C491" t="s">
        <v>12</v>
      </c>
      <c r="D491" t="s">
        <v>15</v>
      </c>
      <c r="E491">
        <v>39.5</v>
      </c>
      <c r="F491">
        <v>1079079</v>
      </c>
      <c r="G491" t="s">
        <v>16</v>
      </c>
      <c r="H491">
        <v>0.63291139240506333</v>
      </c>
      <c r="I491">
        <v>0.63291139240506333</v>
      </c>
      <c r="J491">
        <v>0.63291139240506333</v>
      </c>
      <c r="K491" s="18">
        <v>0</v>
      </c>
      <c r="L491">
        <v>-0.63291139240506333</v>
      </c>
    </row>
    <row r="492" spans="1:12" x14ac:dyDescent="0.2">
      <c r="A492" t="s">
        <v>691</v>
      </c>
      <c r="B492" t="s">
        <v>693</v>
      </c>
      <c r="C492" t="s">
        <v>12</v>
      </c>
      <c r="D492" t="s">
        <v>13</v>
      </c>
      <c r="E492">
        <v>39.25</v>
      </c>
      <c r="F492">
        <v>390739</v>
      </c>
      <c r="G492" t="s">
        <v>695</v>
      </c>
      <c r="H492">
        <v>0</v>
      </c>
      <c r="I492">
        <v>0</v>
      </c>
      <c r="J492">
        <v>0</v>
      </c>
      <c r="K492" s="18">
        <v>0.63694267515923575</v>
      </c>
      <c r="L492">
        <v>0</v>
      </c>
    </row>
    <row r="493" spans="1:12" x14ac:dyDescent="0.2">
      <c r="A493" t="s">
        <v>691</v>
      </c>
      <c r="B493" t="s">
        <v>696</v>
      </c>
      <c r="C493" t="s">
        <v>12</v>
      </c>
      <c r="D493" t="s">
        <v>13</v>
      </c>
      <c r="E493" s="4">
        <v>39.25</v>
      </c>
      <c r="F493">
        <v>392650</v>
      </c>
      <c r="G493" t="s">
        <v>697</v>
      </c>
      <c r="H493">
        <v>0.63694267515923575</v>
      </c>
      <c r="I493">
        <v>0.63694267515923575</v>
      </c>
      <c r="J493">
        <v>0.63694267515923575</v>
      </c>
      <c r="K493" s="18">
        <v>0.63694267515923575</v>
      </c>
      <c r="L493">
        <v>0.63694267515923575</v>
      </c>
    </row>
    <row r="494" spans="1:12" x14ac:dyDescent="0.2">
      <c r="A494" t="s">
        <v>691</v>
      </c>
      <c r="B494" t="s">
        <v>698</v>
      </c>
      <c r="C494" t="s">
        <v>12</v>
      </c>
      <c r="D494" t="s">
        <v>13</v>
      </c>
      <c r="E494">
        <v>39.5</v>
      </c>
      <c r="F494">
        <v>260415</v>
      </c>
      <c r="G494" t="s">
        <v>699</v>
      </c>
      <c r="H494">
        <v>0</v>
      </c>
      <c r="I494">
        <v>0.63291139240506333</v>
      </c>
      <c r="J494">
        <v>0</v>
      </c>
      <c r="K494" s="18">
        <v>0</v>
      </c>
      <c r="L494">
        <v>1.2658227848101271</v>
      </c>
    </row>
    <row r="495" spans="1:12" x14ac:dyDescent="0.2">
      <c r="A495" t="s">
        <v>691</v>
      </c>
      <c r="B495" t="s">
        <v>700</v>
      </c>
      <c r="C495" t="s">
        <v>12</v>
      </c>
      <c r="D495" t="s">
        <v>13</v>
      </c>
      <c r="E495" s="4">
        <v>39.5</v>
      </c>
      <c r="F495">
        <v>2100395</v>
      </c>
      <c r="G495" t="s">
        <v>701</v>
      </c>
      <c r="H495">
        <v>0.63291139240506333</v>
      </c>
      <c r="I495">
        <v>0</v>
      </c>
      <c r="J495">
        <v>0.63291139240506333</v>
      </c>
      <c r="K495" s="18">
        <v>0.63291139240506333</v>
      </c>
      <c r="L495">
        <v>1.89873417721519</v>
      </c>
    </row>
    <row r="496" spans="1:12" x14ac:dyDescent="0.2">
      <c r="A496" t="s">
        <v>691</v>
      </c>
      <c r="B496" t="s">
        <v>700</v>
      </c>
      <c r="C496" t="s">
        <v>12</v>
      </c>
      <c r="D496" t="s">
        <v>35</v>
      </c>
      <c r="E496">
        <v>39.5</v>
      </c>
      <c r="F496">
        <v>2100395</v>
      </c>
      <c r="G496" t="s">
        <v>109</v>
      </c>
      <c r="H496">
        <v>0.63291139240506333</v>
      </c>
      <c r="I496">
        <v>0</v>
      </c>
      <c r="J496">
        <v>0.63291139240506333</v>
      </c>
      <c r="K496" s="18">
        <v>0.63291139240506333</v>
      </c>
      <c r="L496">
        <v>1.89873417721519</v>
      </c>
    </row>
    <row r="497" spans="1:12" x14ac:dyDescent="0.2">
      <c r="A497" t="s">
        <v>691</v>
      </c>
      <c r="B497" t="s">
        <v>700</v>
      </c>
      <c r="C497" t="s">
        <v>12</v>
      </c>
      <c r="D497" t="s">
        <v>15</v>
      </c>
      <c r="E497">
        <v>39.5</v>
      </c>
      <c r="F497">
        <v>2100395</v>
      </c>
      <c r="G497" t="s">
        <v>16</v>
      </c>
      <c r="H497">
        <v>0.63291139240506333</v>
      </c>
      <c r="I497">
        <v>0</v>
      </c>
      <c r="J497">
        <v>0.63291139240506333</v>
      </c>
      <c r="K497" s="18">
        <v>0.63291139240506333</v>
      </c>
      <c r="L497">
        <v>1.89873417721519</v>
      </c>
    </row>
    <row r="498" spans="1:12" x14ac:dyDescent="0.2">
      <c r="A498" t="s">
        <v>691</v>
      </c>
      <c r="B498" t="s">
        <v>702</v>
      </c>
      <c r="C498" t="s">
        <v>12</v>
      </c>
      <c r="D498" t="s">
        <v>13</v>
      </c>
      <c r="E498" s="4">
        <v>39.75</v>
      </c>
      <c r="F498">
        <v>2844805</v>
      </c>
      <c r="G498" t="s">
        <v>704</v>
      </c>
      <c r="H498">
        <v>0</v>
      </c>
      <c r="I498">
        <v>0.62893081761006298</v>
      </c>
      <c r="J498">
        <v>1.8867924528301889</v>
      </c>
      <c r="K498" s="18">
        <v>0.62893081761006298</v>
      </c>
      <c r="L498">
        <v>0.62893081761006298</v>
      </c>
    </row>
    <row r="499" spans="1:12" x14ac:dyDescent="0.2">
      <c r="A499" s="8" t="s">
        <v>691</v>
      </c>
      <c r="B499" s="8" t="s">
        <v>702</v>
      </c>
      <c r="C499" s="8" t="s">
        <v>12</v>
      </c>
      <c r="D499" s="8" t="s">
        <v>15</v>
      </c>
      <c r="E499" s="8">
        <v>39.75</v>
      </c>
      <c r="F499" s="8">
        <v>2844805</v>
      </c>
      <c r="G499" s="8" t="s">
        <v>16</v>
      </c>
      <c r="H499" s="8">
        <v>0</v>
      </c>
      <c r="I499" s="8">
        <v>0.62893081761006298</v>
      </c>
      <c r="J499" s="8">
        <v>1.8867924528301889</v>
      </c>
      <c r="K499" s="19">
        <v>0.62893081761006298</v>
      </c>
      <c r="L499" s="8">
        <v>0.62893081761006298</v>
      </c>
    </row>
    <row r="500" spans="1:12" x14ac:dyDescent="0.2">
      <c r="A500" t="s">
        <v>705</v>
      </c>
      <c r="B500" t="s">
        <v>706</v>
      </c>
      <c r="C500" t="s">
        <v>12</v>
      </c>
      <c r="D500" t="s">
        <v>35</v>
      </c>
      <c r="E500" s="5">
        <v>40.5</v>
      </c>
      <c r="F500">
        <v>0</v>
      </c>
      <c r="G500" t="s">
        <v>707</v>
      </c>
      <c r="H500">
        <v>-1.2345679012345681</v>
      </c>
      <c r="I500">
        <v>-0.61728395061728392</v>
      </c>
      <c r="J500">
        <v>-1.2345679012345681</v>
      </c>
      <c r="K500" s="18">
        <v>-0.61728395061728392</v>
      </c>
      <c r="L500">
        <v>-0.61728395061728392</v>
      </c>
    </row>
    <row r="501" spans="1:12" x14ac:dyDescent="0.2">
      <c r="A501" t="s">
        <v>705</v>
      </c>
      <c r="B501" t="s">
        <v>708</v>
      </c>
      <c r="C501" t="s">
        <v>12</v>
      </c>
      <c r="D501" t="s">
        <v>13</v>
      </c>
      <c r="E501">
        <v>40</v>
      </c>
      <c r="F501">
        <v>4450559</v>
      </c>
      <c r="G501" t="s">
        <v>712</v>
      </c>
      <c r="H501">
        <v>0.625</v>
      </c>
      <c r="I501">
        <v>0</v>
      </c>
      <c r="J501">
        <v>0</v>
      </c>
      <c r="K501" s="18">
        <v>0.625</v>
      </c>
      <c r="L501">
        <v>0.625</v>
      </c>
    </row>
    <row r="502" spans="1:12" x14ac:dyDescent="0.2">
      <c r="A502" t="s">
        <v>705</v>
      </c>
      <c r="B502" t="s">
        <v>708</v>
      </c>
      <c r="C502" t="s">
        <v>12</v>
      </c>
      <c r="D502" t="s">
        <v>35</v>
      </c>
      <c r="E502" s="4">
        <v>40</v>
      </c>
      <c r="F502">
        <v>4450559</v>
      </c>
      <c r="G502" t="s">
        <v>572</v>
      </c>
      <c r="H502">
        <v>0.625</v>
      </c>
      <c r="I502">
        <v>0</v>
      </c>
      <c r="J502">
        <v>0</v>
      </c>
      <c r="K502" s="18">
        <v>0.625</v>
      </c>
      <c r="L502">
        <v>0.625</v>
      </c>
    </row>
    <row r="503" spans="1:12" x14ac:dyDescent="0.2">
      <c r="A503" t="s">
        <v>705</v>
      </c>
      <c r="B503" t="s">
        <v>709</v>
      </c>
      <c r="C503" t="s">
        <v>12</v>
      </c>
      <c r="D503" t="s">
        <v>13</v>
      </c>
      <c r="E503">
        <v>40.25</v>
      </c>
      <c r="F503">
        <v>3372209</v>
      </c>
      <c r="G503" t="s">
        <v>713</v>
      </c>
      <c r="H503">
        <v>0</v>
      </c>
      <c r="I503">
        <v>0</v>
      </c>
      <c r="J503">
        <v>0.6211180124223602</v>
      </c>
      <c r="K503" s="18">
        <v>0.6211180124223602</v>
      </c>
      <c r="L503">
        <v>0.6211180124223602</v>
      </c>
    </row>
    <row r="504" spans="1:12" x14ac:dyDescent="0.2">
      <c r="A504" t="s">
        <v>705</v>
      </c>
      <c r="B504" t="s">
        <v>709</v>
      </c>
      <c r="C504" t="s">
        <v>12</v>
      </c>
      <c r="D504" t="s">
        <v>15</v>
      </c>
      <c r="E504" s="4">
        <v>40.25</v>
      </c>
      <c r="F504">
        <v>3372209</v>
      </c>
      <c r="G504" t="s">
        <v>16</v>
      </c>
      <c r="H504">
        <v>0</v>
      </c>
      <c r="I504">
        <v>0</v>
      </c>
      <c r="J504">
        <v>0.6211180124223602</v>
      </c>
      <c r="K504" s="18">
        <v>0.6211180124223602</v>
      </c>
      <c r="L504">
        <v>0.6211180124223602</v>
      </c>
    </row>
    <row r="505" spans="1:12" x14ac:dyDescent="0.2">
      <c r="A505" t="s">
        <v>705</v>
      </c>
      <c r="B505" t="s">
        <v>710</v>
      </c>
      <c r="C505" t="s">
        <v>12</v>
      </c>
      <c r="D505" t="s">
        <v>13</v>
      </c>
      <c r="E505">
        <v>40.5</v>
      </c>
      <c r="F505">
        <v>4551614</v>
      </c>
      <c r="G505" t="s">
        <v>714</v>
      </c>
      <c r="H505">
        <v>0</v>
      </c>
      <c r="I505">
        <v>0</v>
      </c>
      <c r="J505">
        <v>0</v>
      </c>
      <c r="K505" s="18">
        <v>0</v>
      </c>
      <c r="L505">
        <v>-0.61728395061728392</v>
      </c>
    </row>
    <row r="506" spans="1:12" x14ac:dyDescent="0.2">
      <c r="A506" t="s">
        <v>705</v>
      </c>
      <c r="B506" t="s">
        <v>710</v>
      </c>
      <c r="C506" t="s">
        <v>12</v>
      </c>
      <c r="D506" t="s">
        <v>15</v>
      </c>
      <c r="E506" s="5">
        <v>40.5</v>
      </c>
      <c r="F506">
        <v>4551614</v>
      </c>
      <c r="G506" t="s">
        <v>16</v>
      </c>
      <c r="H506">
        <v>0</v>
      </c>
      <c r="I506">
        <v>0</v>
      </c>
      <c r="J506">
        <v>0</v>
      </c>
      <c r="K506" s="18">
        <v>0</v>
      </c>
      <c r="L506">
        <v>-0.61728395061728392</v>
      </c>
    </row>
    <row r="507" spans="1:12" x14ac:dyDescent="0.2">
      <c r="A507" t="s">
        <v>705</v>
      </c>
      <c r="B507" t="s">
        <v>711</v>
      </c>
      <c r="C507" t="s">
        <v>12</v>
      </c>
      <c r="D507" t="s">
        <v>13</v>
      </c>
      <c r="E507">
        <v>40.25</v>
      </c>
      <c r="F507">
        <v>505601</v>
      </c>
      <c r="G507" t="s">
        <v>715</v>
      </c>
      <c r="H507">
        <v>0</v>
      </c>
      <c r="I507">
        <v>0.6211180124223602</v>
      </c>
      <c r="J507">
        <v>0.6211180124223602</v>
      </c>
      <c r="K507" s="18">
        <v>0</v>
      </c>
    </row>
    <row r="508" spans="1:12" x14ac:dyDescent="0.2">
      <c r="A508" t="s">
        <v>705</v>
      </c>
      <c r="B508" t="s">
        <v>711</v>
      </c>
      <c r="C508" t="s">
        <v>12</v>
      </c>
      <c r="D508" t="s">
        <v>15</v>
      </c>
      <c r="E508" s="4">
        <v>40.25</v>
      </c>
      <c r="F508">
        <v>505601</v>
      </c>
      <c r="G508" t="s">
        <v>16</v>
      </c>
      <c r="H508">
        <v>0</v>
      </c>
      <c r="I508">
        <v>0.6211180124223602</v>
      </c>
      <c r="J508">
        <v>0.6211180124223602</v>
      </c>
      <c r="K508" s="18">
        <v>0</v>
      </c>
    </row>
    <row r="509" spans="1:12" x14ac:dyDescent="0.2">
      <c r="A509" t="s">
        <v>705</v>
      </c>
      <c r="B509" t="s">
        <v>716</v>
      </c>
      <c r="C509" t="s">
        <v>12</v>
      </c>
      <c r="D509" t="s">
        <v>13</v>
      </c>
      <c r="E509">
        <v>40.25</v>
      </c>
      <c r="F509">
        <v>354403</v>
      </c>
      <c r="G509" t="s">
        <v>717</v>
      </c>
      <c r="H509">
        <v>0.6211180124223602</v>
      </c>
      <c r="I509">
        <v>0.6211180124223602</v>
      </c>
      <c r="J509">
        <v>0.6211180124223602</v>
      </c>
    </row>
    <row r="510" spans="1:12" x14ac:dyDescent="0.2">
      <c r="A510" s="8" t="s">
        <v>705</v>
      </c>
      <c r="B510" s="8" t="s">
        <v>716</v>
      </c>
      <c r="C510" s="8" t="s">
        <v>12</v>
      </c>
      <c r="D510" s="8" t="s">
        <v>15</v>
      </c>
      <c r="E510" s="8">
        <v>40.25</v>
      </c>
      <c r="F510" s="8">
        <v>354403</v>
      </c>
      <c r="G510" s="8" t="s">
        <v>16</v>
      </c>
      <c r="H510" s="8">
        <v>0.6211180124223602</v>
      </c>
      <c r="I510" s="8">
        <v>0.6211180124223602</v>
      </c>
      <c r="J510" s="8">
        <v>0.6211180124223602</v>
      </c>
      <c r="K510" s="19"/>
      <c r="L510" s="8"/>
    </row>
  </sheetData>
  <autoFilter ref="A1:J313" xr:uid="{00000000-0001-0000-0000-000000000000}"/>
  <conditionalFormatting sqref="T465:V475">
    <cfRule type="cellIs" dxfId="7" priority="1" operator="lessThanOrEqual">
      <formula>-1</formula>
    </cfRule>
    <cfRule type="cellIs" dxfId="6" priority="2" operator="greaterThanOrEqual">
      <formula>1</formula>
    </cfRule>
  </conditionalFormatting>
  <conditionalFormatting sqref="H2:L600">
    <cfRule type="cellIs" dxfId="5" priority="3" operator="lessThanOrEqual">
      <formula>-1</formula>
    </cfRule>
    <cfRule type="cellIs" dxfId="4" priority="4" operator="greaterThanOrEqual">
      <formula>1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W18" sqref="W18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-0.1172626409413059</v>
      </c>
      <c r="C2">
        <v>-0.14370923962146059</v>
      </c>
      <c r="D2">
        <v>-0.1047667777732107</v>
      </c>
    </row>
    <row r="3" spans="1:4" x14ac:dyDescent="0.2">
      <c r="A3" t="s">
        <v>35</v>
      </c>
      <c r="B3">
        <v>0.38519087577517319</v>
      </c>
      <c r="C3">
        <v>0.50956107178129106</v>
      </c>
      <c r="D3">
        <v>0.41699201972235023</v>
      </c>
    </row>
    <row r="4" spans="1:4" x14ac:dyDescent="0.2">
      <c r="A4" t="s">
        <v>13</v>
      </c>
      <c r="B4">
        <v>3.7502788512828469E-2</v>
      </c>
      <c r="C4">
        <v>5.514301263601469E-2</v>
      </c>
      <c r="D4">
        <v>8.0317200544545456E-2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-0.1172626409413059</v>
      </c>
      <c r="D2">
        <v>-0.14370923962146059</v>
      </c>
      <c r="E2">
        <v>-0.1047667777732107</v>
      </c>
    </row>
    <row r="3" spans="1:5" x14ac:dyDescent="0.2">
      <c r="A3" t="s">
        <v>12</v>
      </c>
      <c r="B3" t="s">
        <v>35</v>
      </c>
      <c r="C3">
        <v>0.38519087577517319</v>
      </c>
      <c r="D3">
        <v>0.50956107178129106</v>
      </c>
      <c r="E3">
        <v>0.41699201972235023</v>
      </c>
    </row>
    <row r="4" spans="1:5" x14ac:dyDescent="0.2">
      <c r="A4" t="s">
        <v>12</v>
      </c>
      <c r="B4" t="s">
        <v>13</v>
      </c>
      <c r="C4">
        <v>3.7502788512828469E-2</v>
      </c>
      <c r="D4">
        <v>5.514301263601469E-2</v>
      </c>
      <c r="E4">
        <v>8.0317200544545456E-2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2025-09-05T15:03:06Z</dcterms:created>
  <dcterms:modified xsi:type="dcterms:W3CDTF">2025-09-30T15:58:00Z</dcterms:modified>
</cp:coreProperties>
</file>