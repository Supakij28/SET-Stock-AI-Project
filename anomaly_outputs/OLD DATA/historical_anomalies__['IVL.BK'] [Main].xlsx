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9290871-40CF-4F53-9D38-1BED8FA2E87C}" xr6:coauthVersionLast="47" xr6:coauthVersionMax="47" xr10:uidLastSave="{00000000-0000-0000-0000-000000000000}"/>
  <bookViews>
    <workbookView xWindow="270" yWindow="420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events!$A$1:$M$342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0" i="1" l="1"/>
  <c r="H323" i="1"/>
  <c r="G399" i="1"/>
  <c r="H397" i="1"/>
  <c r="H395" i="1"/>
  <c r="H393" i="1"/>
  <c r="H391" i="1"/>
  <c r="H390" i="1"/>
  <c r="H386" i="1"/>
  <c r="H384" i="1"/>
  <c r="G385" i="1"/>
  <c r="G384" i="1"/>
  <c r="G380" i="1"/>
  <c r="H382" i="1"/>
  <c r="G372" i="1"/>
  <c r="H375" i="1"/>
  <c r="G370" i="1"/>
  <c r="H368" i="1"/>
  <c r="H361" i="1"/>
  <c r="H363" i="1"/>
  <c r="H358" i="1"/>
  <c r="G358" i="1"/>
  <c r="G354" i="1"/>
  <c r="G352" i="1"/>
  <c r="H356" i="1"/>
  <c r="H352" i="1"/>
  <c r="H343" i="1"/>
  <c r="H341" i="1"/>
  <c r="G334" i="1"/>
  <c r="H329" i="1"/>
  <c r="G324" i="1"/>
  <c r="G323" i="1"/>
  <c r="H320" i="1"/>
  <c r="H317" i="1"/>
  <c r="H316" i="1"/>
  <c r="H314" i="1"/>
  <c r="G316" i="1"/>
  <c r="G314" i="1"/>
  <c r="H313" i="1"/>
  <c r="H311" i="1"/>
  <c r="G307" i="1"/>
  <c r="G305" i="1"/>
  <c r="H305" i="1"/>
  <c r="G301" i="1"/>
  <c r="G300" i="1"/>
  <c r="G298" i="1"/>
  <c r="H298" i="1"/>
  <c r="H293" i="1"/>
  <c r="G291" i="1"/>
  <c r="H288" i="1"/>
  <c r="H283" i="1"/>
  <c r="H281" i="1"/>
  <c r="G281" i="1"/>
  <c r="H277" i="1"/>
  <c r="G277" i="1"/>
  <c r="H271" i="1"/>
  <c r="G267" i="1"/>
  <c r="G261" i="1"/>
  <c r="G260" i="1"/>
  <c r="H260" i="1"/>
  <c r="H259" i="1"/>
  <c r="H258" i="1"/>
  <c r="H254" i="1"/>
  <c r="H253" i="1"/>
  <c r="H251" i="1"/>
  <c r="G249" i="1"/>
  <c r="H248" i="1"/>
  <c r="G244" i="1"/>
  <c r="H243" i="1"/>
  <c r="H241" i="1"/>
  <c r="H237" i="1"/>
  <c r="H232" i="1"/>
  <c r="H231" i="1"/>
  <c r="G233" i="1"/>
  <c r="G232" i="1"/>
  <c r="G231" i="1"/>
  <c r="H230" i="1"/>
  <c r="H228" i="1"/>
  <c r="H227" i="1"/>
  <c r="G224" i="1"/>
  <c r="H224" i="1"/>
  <c r="H220" i="1"/>
  <c r="H218" i="1"/>
  <c r="H216" i="1"/>
  <c r="H214" i="1"/>
  <c r="G216" i="1"/>
  <c r="G214" i="1"/>
  <c r="G211" i="1"/>
  <c r="H204" i="1"/>
  <c r="G209" i="1"/>
  <c r="G204" i="1"/>
  <c r="G194" i="1"/>
  <c r="H193" i="1"/>
  <c r="H188" i="1"/>
  <c r="G188" i="1"/>
  <c r="G185" i="1"/>
  <c r="G184" i="1"/>
  <c r="G182" i="1"/>
  <c r="G172" i="1"/>
  <c r="G167" i="1"/>
  <c r="H165" i="1"/>
  <c r="H162" i="1"/>
  <c r="H164" i="1"/>
  <c r="G152" i="1"/>
  <c r="G151" i="1"/>
  <c r="G149" i="1"/>
  <c r="G148" i="1"/>
  <c r="G146" i="1"/>
  <c r="H128" i="1"/>
  <c r="H126" i="1"/>
  <c r="G131" i="1"/>
  <c r="H124" i="1"/>
  <c r="H123" i="1"/>
  <c r="H122" i="1"/>
  <c r="H120" i="1"/>
  <c r="G120" i="1"/>
  <c r="G116" i="1"/>
  <c r="G115" i="1"/>
  <c r="G104" i="1"/>
  <c r="H105" i="1"/>
  <c r="H104" i="1"/>
  <c r="H103" i="1"/>
  <c r="H101" i="1"/>
  <c r="H99" i="1"/>
  <c r="G95" i="1"/>
  <c r="H93" i="1"/>
  <c r="G88" i="1"/>
  <c r="H88" i="1"/>
  <c r="H85" i="1"/>
  <c r="H81" i="1"/>
  <c r="G77" i="1"/>
  <c r="H74" i="1"/>
  <c r="G72" i="1"/>
  <c r="G70" i="1"/>
  <c r="H64" i="1"/>
  <c r="G64" i="1"/>
  <c r="G61" i="1"/>
  <c r="G55" i="1"/>
  <c r="H61" i="1"/>
  <c r="H59" i="1"/>
  <c r="H55" i="1"/>
  <c r="G47" i="1"/>
  <c r="H49" i="1"/>
  <c r="H42" i="1"/>
  <c r="G41" i="1"/>
  <c r="H40" i="1"/>
  <c r="H37" i="1"/>
  <c r="H28" i="1"/>
  <c r="G25" i="1"/>
  <c r="G19" i="1"/>
  <c r="G18" i="1"/>
  <c r="G16" i="1"/>
  <c r="H19" i="1"/>
  <c r="H16" i="1"/>
  <c r="H9" i="1"/>
  <c r="O42" i="1"/>
  <c r="O30" i="1"/>
  <c r="N66" i="1"/>
  <c r="N69" i="1"/>
  <c r="O162" i="1"/>
  <c r="O226" i="1"/>
  <c r="N265" i="1"/>
  <c r="N287" i="1"/>
  <c r="N354" i="1"/>
  <c r="O349" i="1"/>
  <c r="N335" i="1"/>
  <c r="N370" i="1"/>
  <c r="N324" i="1"/>
  <c r="N307" i="1"/>
  <c r="N291" i="1"/>
  <c r="N278" i="1"/>
  <c r="N267" i="1"/>
  <c r="N249" i="1"/>
  <c r="N233" i="1"/>
  <c r="N210" i="1"/>
  <c r="N205" i="1"/>
  <c r="N184" i="1"/>
  <c r="N181" i="1"/>
  <c r="N173" i="1"/>
  <c r="N151" i="1"/>
  <c r="N149" i="1"/>
  <c r="N147" i="1"/>
  <c r="O125" i="1"/>
  <c r="O123" i="1"/>
  <c r="O121" i="1"/>
  <c r="N101" i="1"/>
  <c r="N98" i="1"/>
  <c r="N95" i="1"/>
  <c r="O93" i="1"/>
  <c r="N91" i="1"/>
  <c r="O85" i="1"/>
  <c r="O81" i="1"/>
  <c r="N77" i="1"/>
  <c r="N72" i="1"/>
  <c r="N25" i="1"/>
  <c r="N300" i="1"/>
  <c r="O360" i="1"/>
  <c r="O368" i="1"/>
  <c r="O363" i="1"/>
  <c r="O357" i="1"/>
  <c r="O343" i="1"/>
  <c r="O342" i="1"/>
  <c r="O315" i="1"/>
  <c r="O317" i="1"/>
  <c r="O313" i="1"/>
  <c r="O298" i="1"/>
  <c r="O288" i="1"/>
  <c r="O271" i="1"/>
  <c r="O259" i="1"/>
  <c r="O258" i="1"/>
  <c r="O251" i="1"/>
  <c r="O248" i="1"/>
  <c r="O237" i="1"/>
  <c r="O231" i="1"/>
  <c r="O228" i="1"/>
  <c r="O218" i="1"/>
  <c r="O164" i="1"/>
  <c r="O126" i="1"/>
  <c r="O128" i="1"/>
  <c r="O74" i="1"/>
  <c r="O59" i="1"/>
  <c r="O49" i="1"/>
  <c r="N103" i="1"/>
  <c r="N18" i="1"/>
</calcChain>
</file>

<file path=xl/sharedStrings.xml><?xml version="1.0" encoding="utf-8"?>
<sst xmlns="http://schemas.openxmlformats.org/spreadsheetml/2006/main" count="2102" uniqueCount="566">
  <si>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</si>
  <si>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</si>
  <si>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</si>
  <si>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</si>
  <si>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</si>
  <si>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</si>
  <si>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</si>
  <si>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</si>
  <si>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</si>
  <si>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</si>
  <si>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</si>
  <si>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14:10</t>
  </si>
  <si>
    <t>IVL.BK</t>
  </si>
  <si>
    <t>VOLUME_SPIKE</t>
  </si>
  <si>
    <t>Vol 592,585 &gt; 3.0×avg(20) ~ 165,634</t>
  </si>
  <si>
    <t>VOLATILITY_BREAK</t>
  </si>
  <si>
    <t>TR 0.2000 &gt; 2.0×ATR(20) 0.0800</t>
  </si>
  <si>
    <t>2025-07-22 14:30</t>
  </si>
  <si>
    <t>Vol 614,801 &gt; 3.0×avg(20) ~ 190,046</t>
  </si>
  <si>
    <t>PRICE_VOLUME_DIVERGENCE</t>
  </si>
  <si>
    <t>|ret| 0.0000% &lt; 0.15% + volume spike</t>
  </si>
  <si>
    <t>2025-07-22 14:45</t>
  </si>
  <si>
    <t>2025-07-22 16:05</t>
  </si>
  <si>
    <t>TR 0.2000 &gt; 2.0×ATR(20) 0.0950</t>
  </si>
  <si>
    <t>2025-07-22 16:20</t>
  </si>
  <si>
    <t>TR 0.2000 &gt; 2.0×ATR(20) 0.1000</t>
  </si>
  <si>
    <t>2025-07-23</t>
  </si>
  <si>
    <t>2025-07-23 10:00</t>
  </si>
  <si>
    <t>TR 0.3000 &gt; 2.0×ATR(20) 0.1050</t>
  </si>
  <si>
    <t>2025-07-23 10:15</t>
  </si>
  <si>
    <t>Vol 661,700 &gt; 3.0×avg(20) ~ 211,548</t>
  </si>
  <si>
    <t>2025-07-23 10:25</t>
  </si>
  <si>
    <t>Vol 884,600 &gt; 3.0×avg(20) ~ 284,086</t>
  </si>
  <si>
    <t>2025-07-23 11:55</t>
  </si>
  <si>
    <t>TR 0.2000 &gt; 2.0×ATR(20) 0.0850</t>
  </si>
  <si>
    <t>2025-07-23 12:00</t>
  </si>
  <si>
    <t>Vol 759,200 &gt; 3.0×avg(20) ~ 236,561</t>
  </si>
  <si>
    <t>2025-07-23 13:55</t>
  </si>
  <si>
    <t>Vol 567,525 &gt; 3.0×avg(20) ~ 121,452</t>
  </si>
  <si>
    <t>2025-07-23 14:00</t>
  </si>
  <si>
    <t>Vol 1,995,129 &gt; 3.0×avg(20) ~ 214,158</t>
  </si>
  <si>
    <t>TR 0.3000 &gt; 2.0×ATR(20) 0.0950</t>
  </si>
  <si>
    <t>2025-07-23 15:40</t>
  </si>
  <si>
    <t>TR 0.1000 &gt; 2.0×ATR(20) 0.0450</t>
  </si>
  <si>
    <t>2025-07-23 15:45</t>
  </si>
  <si>
    <t>2025-07-23 16:00</t>
  </si>
  <si>
    <t>Vol 1,241,100 &gt; 3.0×avg(20) ~ 159,947</t>
  </si>
  <si>
    <t>2025-07-23 16:10</t>
  </si>
  <si>
    <t>Vol 592,300 &gt; 3.0×avg(20) ~ 183,782</t>
  </si>
  <si>
    <t>TR 0.2000 &gt; 2.0×ATR(20) 0.0700</t>
  </si>
  <si>
    <t>2025-07-24</t>
  </si>
  <si>
    <t>2025-07-24 10:10</t>
  </si>
  <si>
    <t>Vol 1,414,821 &gt; 3.0×avg(20) ~ 263,722</t>
  </si>
  <si>
    <t>2025-07-24 13:55</t>
  </si>
  <si>
    <t>Vol 1,057,600 &gt; 3.0×avg(20) ~ 207,395</t>
  </si>
  <si>
    <t>2025-07-24 14:05</t>
  </si>
  <si>
    <t>Vol 725,500 &gt; 3.0×avg(20) ~ 229,495</t>
  </si>
  <si>
    <t>2025-07-24 15:10</t>
  </si>
  <si>
    <t>Vol 1,145,305 &gt; 3.0×avg(20) ~ 206,678</t>
  </si>
  <si>
    <t>2025-07-24 15:55</t>
  </si>
  <si>
    <t>Vol 775,038 &gt; 3.0×avg(20) ~ 171,379</t>
  </si>
  <si>
    <t>TR 0.2000 &gt; 2.0×ATR(20) 0.0750</t>
  </si>
  <si>
    <t>2025-07-24 16:05</t>
  </si>
  <si>
    <t>Vol 589,100 &gt; 3.0×avg(20) ~ 195,426</t>
  </si>
  <si>
    <t>2025-07-25</t>
  </si>
  <si>
    <t>2025-07-25 10:00</t>
  </si>
  <si>
    <t>TR 0.2000 &gt; 2.0×ATR(20) 0.0900</t>
  </si>
  <si>
    <t>2025-07-25 10:25</t>
  </si>
  <si>
    <t>Vol 628,800 &gt; 3.0×avg(20) ~ 164,430</t>
  </si>
  <si>
    <t>2025-07-25 11:25</t>
  </si>
  <si>
    <t>Vol 518,230 &gt; 3.0×avg(20) ~ 129,042</t>
  </si>
  <si>
    <t>2025-07-25 11:45</t>
  </si>
  <si>
    <t>2025-07-25 12:15</t>
  </si>
  <si>
    <t>TR 0.1000 &gt; 2.0×ATR(20) 0.0400</t>
  </si>
  <si>
    <t>2025-07-25 13:55</t>
  </si>
  <si>
    <t>2025-07-25 14:00</t>
  </si>
  <si>
    <t>TR 0.2000 &gt; 2.0×ATR(20) 0.0500</t>
  </si>
  <si>
    <t>2025-07-25 14:10</t>
  </si>
  <si>
    <t>Vol 458,700 &gt; 3.0×avg(20) ~ 106,414</t>
  </si>
  <si>
    <t>TR 0.2000 &gt; 2.0×ATR(20) 0.0650</t>
  </si>
  <si>
    <t>2025-07-25 15:05</t>
  </si>
  <si>
    <t>Vol 273,837 &gt; 3.0×avg(20) ~ 82,808</t>
  </si>
  <si>
    <t>2025-07-25 15:50</t>
  </si>
  <si>
    <t>Vol 327,800 &gt; 3.0×avg(20) ~ 87,061</t>
  </si>
  <si>
    <t>2025-07-29</t>
  </si>
  <si>
    <t>2025-07-29 10:00</t>
  </si>
  <si>
    <t>TR 0.5000 &gt; 2.0×ATR(20) 0.1150</t>
  </si>
  <si>
    <t>2025-07-29 10:10</t>
  </si>
  <si>
    <t>Vol 377,816 &gt; 3.0×avg(20) ~ 92,144</t>
  </si>
  <si>
    <t>2025-07-29 10:15</t>
  </si>
  <si>
    <t>Vol 683,050 &gt; 3.0×avg(20) ~ 112,605</t>
  </si>
  <si>
    <t>2025-07-29 10:20</t>
  </si>
  <si>
    <t>Vol 624,230 &gt; 3.0×avg(20) ~ 143,631</t>
  </si>
  <si>
    <t>2025-07-29 10:25</t>
  </si>
  <si>
    <t>Vol 967,044 &gt; 3.0×avg(20) ~ 182,152</t>
  </si>
  <si>
    <t>2025-07-29 11:00</t>
  </si>
  <si>
    <t>Vol 1,164,700 &gt; 3.0×avg(20) ~ 292,809</t>
  </si>
  <si>
    <t>2025-07-29 13:55</t>
  </si>
  <si>
    <t>Vol 1,363,194 &gt; 3.0×avg(20) ~ 351,956</t>
  </si>
  <si>
    <t>2025-07-29 14:00</t>
  </si>
  <si>
    <t>Vol 1,936,020 &gt; 3.0×avg(20) ~ 415,122</t>
  </si>
  <si>
    <t>TR 0.4000 &gt; 2.0×ATR(20) 0.0950</t>
  </si>
  <si>
    <t>2025-07-29 14:25</t>
  </si>
  <si>
    <t>Vol 3,077,691 &gt; 3.0×avg(20) ~ 583,349</t>
  </si>
  <si>
    <t>2025-07-30</t>
  </si>
  <si>
    <t>2025-07-30 10:00</t>
  </si>
  <si>
    <t>TR 0.8000 &gt; 2.0×ATR(20) 0.1300</t>
  </si>
  <si>
    <t>2025-07-30 10:05</t>
  </si>
  <si>
    <t>Vol 2,760,501 &gt; 3.0×avg(20) ~ 348,054</t>
  </si>
  <si>
    <t>TR 0.3000 &gt; 2.0×ATR(20) 0.1400</t>
  </si>
  <si>
    <t>2025-07-30 10:10</t>
  </si>
  <si>
    <t>Vol 1,395,000 &gt; 3.0×avg(20) ~ 405,204</t>
  </si>
  <si>
    <t>TR 0.3000 &gt; 2.0×ATR(20) 0.1450</t>
  </si>
  <si>
    <t>2025-07-30 11:10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</si>
  <si>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</si>
  <si>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</si>
  <si>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</si>
  <si>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</si>
  <si>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</si>
  <si>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</si>
  <si>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</si>
  <si>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0.3000 &gt; 2.0×ATR(20) 0.1300</t>
  </si>
  <si>
    <t>2025-07-31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</si>
  <si>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</si>
  <si>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</si>
  <si>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</si>
  <si>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</si>
  <si>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</si>
  <si>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</si>
  <si>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2025-07-31 15:45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</si>
  <si>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</si>
  <si>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</si>
  <si>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</si>
  <si>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</si>
  <si>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</si>
  <si>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</si>
  <si>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</si>
  <si>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</si>
  <si>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</si>
  <si>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2025-07-31 16:20</t>
  </si>
  <si>
    <t>Vol 778,100 &gt; 3.0×avg(20) ~ 212,167</t>
  </si>
  <si>
    <t>2025-08-01</t>
  </si>
  <si>
    <t>2025-08-01 10:00</t>
  </si>
  <si>
    <t>TR 0.5000 &gt; 2.0×ATR(20) 0.0700</t>
  </si>
  <si>
    <t>2025-08-01 10:05</t>
  </si>
  <si>
    <t>2025-08-01 11:40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</si>
  <si>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</si>
  <si>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</si>
  <si>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</si>
  <si>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</si>
  <si>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</si>
  <si>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</si>
  <si>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</si>
  <si>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</si>
  <si>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</si>
  <si>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</si>
  <si>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</si>
  <si>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</si>
  <si>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</si>
  <si>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</t>
  </si>
  <si>
    <t>2025-08-04 10:00</t>
  </si>
  <si>
    <t>TR 0.3000 &gt; 2.0×ATR(20) 0.0850</t>
  </si>
  <si>
    <t>2025-08-04 10:25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</si>
  <si>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</si>
  <si>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</si>
  <si>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</si>
  <si>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</si>
  <si>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</si>
  <si>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</si>
  <si>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</si>
  <si>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</si>
  <si>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</si>
  <si>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</si>
  <si>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</si>
  <si>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2025-08-05</t>
  </si>
  <si>
    <t>2025-08-05 10:00</t>
  </si>
  <si>
    <t>TR 0.3000 &gt; 2.0×ATR(20) 0.0800</t>
  </si>
  <si>
    <t>2025-08-05 10:05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</si>
  <si>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</si>
  <si>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</si>
  <si>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</si>
  <si>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</si>
  <si>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</si>
  <si>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</si>
  <si>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</si>
  <si>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</t>
  </si>
  <si>
    <t>2025-08-06 10:00</t>
  </si>
  <si>
    <t>Vol 1,803,401 &gt; 3.0×avg(20) ~ 378,858</t>
  </si>
  <si>
    <t>TR 0.4000 &gt; 2.0×ATR(20) 0.1400</t>
  </si>
  <si>
    <t>2025-08-06 10:05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</si>
  <si>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</si>
  <si>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</si>
  <si>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</si>
  <si>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</si>
  <si>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</si>
  <si>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</si>
  <si>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</si>
  <si>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</si>
  <si>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</si>
  <si>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</si>
  <si>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</si>
  <si>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</si>
  <si>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</si>
  <si>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</si>
  <si>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</si>
  <si>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</si>
  <si>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</si>
  <si>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</si>
  <si>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</si>
  <si>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</si>
  <si>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</si>
  <si>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</si>
  <si>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</si>
  <si>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</si>
  <si>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</si>
  <si>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2025-08-07 15:45</t>
  </si>
  <si>
    <t>Vol 743,500 &gt; 3.0×avg(20) ~ 175,038</t>
  </si>
  <si>
    <t>TR 0.3000 &gt; 2.0×ATR(20) 0.1100</t>
  </si>
  <si>
    <t>2025-08-07 15:50</t>
  </si>
  <si>
    <t>Vol 854,800 &gt; 3.0×avg(20) ~ 208,443</t>
  </si>
  <si>
    <t>2025-08-07 16:25</t>
  </si>
  <si>
    <t>Vol 851,600 &gt; 3.0×avg(20) ~ 181,199</t>
  </si>
  <si>
    <t>2025-08-08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</si>
  <si>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</si>
  <si>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</si>
  <si>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</si>
  <si>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</si>
  <si>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</si>
  <si>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</si>
  <si>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</si>
  <si>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</si>
  <si>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</si>
  <si>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</si>
  <si>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</si>
  <si>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</si>
  <si>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</si>
  <si>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</si>
  <si>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</si>
  <si>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</si>
  <si>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</si>
  <si>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</t>
  </si>
  <si>
    <t>2025-08-13 10:00</t>
  </si>
  <si>
    <t>TR 0.4000 &gt; 2.0×ATR(20) 0.1250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</si>
  <si>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</si>
  <si>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</si>
  <si>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</si>
  <si>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</si>
  <si>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</si>
  <si>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</si>
  <si>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</si>
  <si>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</si>
  <si>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</si>
  <si>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</si>
  <si>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</si>
  <si>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TR 0.3000 &gt; 2.0×ATR(20) 0.1200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</si>
  <si>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</si>
  <si>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</si>
  <si>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</si>
  <si>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</si>
  <si>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</si>
  <si>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</si>
  <si>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</si>
  <si>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</si>
  <si>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</si>
  <si>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</si>
  <si>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</si>
  <si>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</si>
  <si>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</si>
  <si>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</si>
  <si>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</si>
  <si>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</si>
  <si>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</si>
  <si>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</si>
  <si>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</si>
  <si>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</si>
  <si>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</si>
  <si>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</si>
  <si>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</si>
  <si>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</si>
  <si>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</si>
  <si>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</si>
  <si>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</si>
  <si>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</si>
  <si>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</si>
  <si>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</si>
  <si>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</si>
  <si>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</si>
  <si>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</si>
  <si>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</si>
  <si>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</si>
  <si>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</si>
  <si>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</si>
  <si>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</si>
  <si>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</si>
  <si>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</si>
  <si>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</si>
  <si>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</si>
  <si>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</si>
  <si>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</si>
  <si>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</si>
  <si>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</si>
  <si>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</si>
  <si>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</si>
  <si>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</si>
  <si>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</si>
  <si>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</si>
  <si>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</si>
  <si>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</si>
  <si>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</si>
  <si>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</si>
  <si>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</si>
  <si>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</si>
  <si>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</si>
  <si>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</si>
  <si>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</si>
  <si>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</t>
  </si>
  <si>
    <t>2025-08-20 10:00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</si>
  <si>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</si>
  <si>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</si>
  <si>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</si>
  <si>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</si>
  <si>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</si>
  <si>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</si>
  <si>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</si>
  <si>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</si>
  <si>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</si>
  <si>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</si>
  <si>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</si>
  <si>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</si>
  <si>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</si>
  <si>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</si>
  <si>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</si>
  <si>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</si>
  <si>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</si>
  <si>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</si>
  <si>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</si>
  <si>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</si>
  <si>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</si>
  <si>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</si>
  <si>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</si>
  <si>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</si>
  <si>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</si>
  <si>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</si>
  <si>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</si>
  <si>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</si>
  <si>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</si>
  <si>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</si>
  <si>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</si>
  <si>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</si>
  <si>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</si>
  <si>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</si>
  <si>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</si>
  <si>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</si>
  <si>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</si>
  <si>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</si>
  <si>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</si>
  <si>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</si>
  <si>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</si>
  <si>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</si>
  <si>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</si>
  <si>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</si>
  <si>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</si>
  <si>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</si>
  <si>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</si>
  <si>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</si>
  <si>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</si>
  <si>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</si>
  <si>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</si>
  <si>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</si>
  <si>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</si>
  <si>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</si>
  <si>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</si>
  <si>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</si>
  <si>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</si>
  <si>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</si>
  <si>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</si>
  <si>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</si>
  <si>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</si>
  <si>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</si>
  <si>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</si>
  <si>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</si>
  <si>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</si>
  <si>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</si>
  <si>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</si>
  <si>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</si>
  <si>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</si>
  <si>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</si>
  <si>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</si>
  <si>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</si>
  <si>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</si>
  <si>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</si>
  <si>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</si>
  <si>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</si>
  <si>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</si>
  <si>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</si>
  <si>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</si>
  <si>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</si>
  <si>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</si>
  <si>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</si>
  <si>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</si>
  <si>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</si>
  <si>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</si>
  <si>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</si>
  <si>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</si>
  <si>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</si>
  <si>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</si>
  <si>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2025-08-28 14:00</t>
  </si>
  <si>
    <t>Vol 2,209,205 &gt; 3.0×avg(20) ~ 230,478</t>
  </si>
  <si>
    <t>2025-08-28 14:15</t>
  </si>
  <si>
    <t>2025-08-28 15:40</t>
  </si>
  <si>
    <t>Vol 686,200 &gt; 3.0×avg(20) ~ 210,342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</si>
  <si>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</si>
  <si>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</si>
  <si>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</si>
  <si>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</si>
  <si>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</si>
  <si>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</si>
  <si>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</si>
  <si>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</si>
  <si>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</si>
  <si>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</si>
  <si>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</si>
  <si>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</si>
  <si>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</si>
  <si>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</si>
  <si>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</si>
  <si>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</si>
  <si>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</si>
  <si>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</si>
  <si>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</si>
  <si>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</si>
  <si>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</si>
  <si>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</si>
  <si>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</si>
  <si>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</si>
  <si>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</si>
  <si>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</si>
  <si>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</si>
  <si>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</si>
  <si>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</si>
  <si>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</si>
  <si>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</si>
  <si>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</si>
  <si>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</si>
  <si>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</si>
  <si>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</si>
  <si>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</si>
  <si>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</si>
  <si>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</si>
  <si>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</si>
  <si>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</si>
  <si>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</si>
  <si>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</si>
  <si>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</si>
  <si>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</si>
  <si>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</si>
  <si>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</si>
  <si>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</si>
  <si>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</si>
  <si>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</si>
  <si>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</si>
  <si>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</si>
  <si>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</si>
  <si>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</si>
  <si>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</si>
  <si>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</si>
  <si>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</si>
  <si>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</si>
  <si>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</si>
  <si>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</si>
  <si>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</si>
  <si>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</si>
  <si>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</si>
  <si>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</si>
  <si>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</si>
  <si>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</si>
  <si>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</si>
  <si>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</si>
  <si>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</si>
  <si>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</si>
  <si>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</si>
  <si>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</si>
  <si>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</si>
  <si>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</si>
  <si>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</si>
  <si>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</si>
  <si>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</si>
  <si>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</si>
  <si>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</si>
  <si>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</si>
  <si>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</si>
  <si>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</si>
  <si>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</si>
  <si>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</si>
  <si>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</si>
  <si>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</si>
  <si>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</si>
  <si>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</si>
  <si>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</si>
  <si>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</si>
  <si>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TR 0.9000 &gt; 2.0×ATR(20) 0.1300</t>
  </si>
  <si>
    <t>2025-09-08 10:10</t>
  </si>
  <si>
    <t>2025-09-08 10:15</t>
  </si>
  <si>
    <t>2025-09-08 10:20</t>
  </si>
  <si>
    <t>2025-09-08 10:35</t>
  </si>
  <si>
    <t>TR 0.5000 &gt; 2.0×ATR(20) 0.1600</t>
  </si>
  <si>
    <t>2025-09-08 10:40</t>
  </si>
  <si>
    <t>Vol 1,577,899 &gt; 3.0×avg(20) ~ 293,123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</si>
  <si>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</si>
  <si>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</si>
  <si>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</si>
  <si>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</si>
  <si>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</si>
  <si>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</si>
  <si>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</si>
  <si>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</si>
  <si>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</si>
  <si>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2025-09-08 15:55</t>
  </si>
  <si>
    <t>Vol 2,719,601 &gt; 3.0×avg(20) ~ 628,037</t>
  </si>
  <si>
    <t>SALE</t>
  </si>
  <si>
    <t>BUY</t>
  </si>
  <si>
    <t>ซื้อที่ราคาสูงที่สุด</t>
  </si>
  <si>
    <t>ขายที่ราคาต่ำสุด</t>
  </si>
  <si>
    <t>ขายที่จุดสูงสุด</t>
  </si>
  <si>
    <t>ปิดจำนวนซื้อ/ขาย</t>
  </si>
  <si>
    <t>2025-09-09</t>
  </si>
  <si>
    <t>2025-09-09 10:05</t>
  </si>
  <si>
    <t>2025-09-09 10:45</t>
  </si>
  <si>
    <t>2025-09-09 11:30</t>
  </si>
  <si>
    <t>Vol 1,016,599 &gt; 3.0×avg(20) ~ 311,095</t>
  </si>
  <si>
    <t>2025-09-09 12:15</t>
  </si>
  <si>
    <t>2025-09-09 12:25</t>
  </si>
  <si>
    <t>Vol 830,901 &gt; 3.0×avg(20) ~ 171,879</t>
  </si>
  <si>
    <t>2025-09-09 13:55</t>
  </si>
  <si>
    <t>Vol 629,500 &gt; 3.0×avg(20) ~ 186,969</t>
  </si>
  <si>
    <t>2025-09-09 14:35</t>
  </si>
  <si>
    <t>Vol 888,600 &gt; 3.0×avg(20) ~ 215,844</t>
  </si>
  <si>
    <t>2025-09-09 15:45</t>
  </si>
  <si>
    <t>Vol 928,100 &gt; 3.0×avg(20) ~ 152,825</t>
  </si>
  <si>
    <t>**ขายและซื้อ**</t>
  </si>
  <si>
    <t>**ซื้อและขาย**</t>
  </si>
  <si>
    <t>2025-09-10</t>
  </si>
  <si>
    <t>2025-09-10 10:00</t>
  </si>
  <si>
    <t>Vol 2,643,300 &gt; 3.0×avg(20) ~ 268,115</t>
  </si>
  <si>
    <t>2025-09-10 10:15</t>
  </si>
  <si>
    <t>Vol 1,707,421 &gt; 3.0×avg(20) ~ 381,566</t>
  </si>
  <si>
    <t>2025-09-10 11:15</t>
  </si>
  <si>
    <t>2025-09-10 13:55</t>
  </si>
  <si>
    <t>Vol 749,001 &gt; 3.0×avg(20) ~ 181,590</t>
  </si>
  <si>
    <t>2025-09-10 14:45</t>
  </si>
  <si>
    <t>Vol 736,257 &gt; 3.0×avg(20) ~ 111,513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</si>
  <si>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</si>
  <si>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</si>
  <si>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</si>
  <si>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</si>
  <si>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</si>
  <si>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</si>
  <si>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</si>
  <si>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</si>
  <si>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</si>
  <si>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</si>
  <si>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</si>
  <si>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2025-09-10 16:00</t>
  </si>
  <si>
    <t>2025-09-11</t>
  </si>
  <si>
    <t>2025-09-11 10:00</t>
  </si>
  <si>
    <t>TR 0.4000 &gt; 2.0×ATR(20) 0.1550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</si>
</sst>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FFFF00"/>
      <name val="Tahoma"/>
      <family val="2"/>
      <charset val="222"/>
      <scheme val="minor"/>
    </font>
    <font>
      <b/>
      <sz val="11"/>
      <color rgb="FF9C5700"/>
      <name val="Tahoma"/>
      <family val="2"/>
      <scheme val="minor"/>
    </font>
    <font>
      <b/>
      <sz val="11"/>
      <color rgb="FF006100"/>
      <name val="Tahoma"/>
      <family val="2"/>
      <scheme val="minor"/>
    </font>
    <font>
      <b/>
      <sz val="11"/>
      <color rgb="FF9C0006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7" fillId="9" borderId="3" applyNumberFormat="0" applyAlignment="0" applyProtection="0"/>
    <xf numFmtId="0" fontId="8" fillId="10" borderId="4" applyNumberFormat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5" borderId="0" xfId="0" applyFill="1"/>
    <xf numFmtId="0" fontId="0" fillId="5" borderId="2" xfId="0" applyFill="1" applyBorder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3" fillId="3" borderId="0" xfId="2"/>
    <xf numFmtId="0" fontId="2" fillId="2" borderId="0" xfId="1"/>
    <xf numFmtId="0" fontId="4" fillId="4" borderId="0" xfId="3"/>
    <xf numFmtId="0" fontId="5" fillId="0" borderId="2" xfId="0" applyFont="1" applyBorder="1"/>
    <xf numFmtId="0" fontId="2" fillId="2" borderId="2" xfId="1" applyBorder="1"/>
    <xf numFmtId="0" fontId="3" fillId="3" borderId="2" xfId="2" applyBorder="1"/>
    <xf numFmtId="0" fontId="4" fillId="4" borderId="2" xfId="3" applyBorder="1"/>
    <xf numFmtId="0" fontId="7" fillId="9" borderId="3" xfId="4"/>
    <xf numFmtId="0" fontId="8" fillId="10" borderId="4" xfId="5"/>
    <xf numFmtId="0" fontId="9" fillId="0" borderId="0" xfId="0" applyFont="1"/>
    <xf numFmtId="0" fontId="10" fillId="0" borderId="0" xfId="0" applyFont="1"/>
    <xf numFmtId="0" fontId="10" fillId="6" borderId="0" xfId="0" applyFont="1" applyFill="1"/>
    <xf numFmtId="0" fontId="10" fillId="0" borderId="2" xfId="0" applyFont="1" applyBorder="1"/>
    <xf numFmtId="0" fontId="10" fillId="6" borderId="2" xfId="0" applyFont="1" applyFill="1" applyBorder="1"/>
    <xf numFmtId="0" fontId="10" fillId="11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11" borderId="2" xfId="0" applyFont="1" applyFill="1" applyBorder="1"/>
    <xf numFmtId="0" fontId="9" fillId="0" borderId="2" xfId="0" applyFont="1" applyBorder="1"/>
    <xf numFmtId="0" fontId="11" fillId="10" borderId="4" xfId="5" applyFont="1"/>
    <xf numFmtId="0" fontId="12" fillId="4" borderId="3" xfId="3" applyFont="1" applyBorder="1"/>
    <xf numFmtId="0" fontId="10" fillId="7" borderId="2" xfId="0" applyFont="1" applyFill="1" applyBorder="1"/>
    <xf numFmtId="0" fontId="10" fillId="8" borderId="2" xfId="0" applyFont="1" applyFill="1" applyBorder="1"/>
    <xf numFmtId="0" fontId="13" fillId="2" borderId="2" xfId="1" applyFont="1" applyBorder="1"/>
    <xf numFmtId="0" fontId="14" fillId="3" borderId="2" xfId="2" applyFont="1" applyBorder="1"/>
    <xf numFmtId="0" fontId="0" fillId="0" borderId="5" xfId="0" applyBorder="1"/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4"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events!$B$249:$B$401</c:f>
              <c:strCache>
                <c:ptCount val="153"/>
                <c:pt idx="0">
                  <c:v>2025-08-25 10:00</c:v>
                </c:pt>
                <c:pt idx="1">
                  <c:v>2025-08-25 10:05</c:v>
                </c:pt>
                <c:pt idx="2">
                  <c:v>2025-08-25 10:05</c:v>
                </c:pt>
                <c:pt idx="3">
                  <c:v>2025-08-25 11:05</c:v>
                </c:pt>
                <c:pt idx="4">
                  <c:v>2025-08-25 11:05</c:v>
                </c:pt>
                <c:pt idx="5">
                  <c:v>2025-08-25 14:10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10:55</c:v>
                </c:pt>
                <c:pt idx="10">
                  <c:v>2025-08-26 11:20</c:v>
                </c:pt>
                <c:pt idx="11">
                  <c:v>2025-08-26 11:30</c:v>
                </c:pt>
                <c:pt idx="12">
                  <c:v>2025-08-26 11:35</c:v>
                </c:pt>
                <c:pt idx="13">
                  <c:v>2025-08-26 14:05</c:v>
                </c:pt>
                <c:pt idx="14">
                  <c:v>2025-08-26 14:05</c:v>
                </c:pt>
                <c:pt idx="15">
                  <c:v>2025-08-26 15:55</c:v>
                </c:pt>
                <c:pt idx="16">
                  <c:v>2025-08-26 15:55</c:v>
                </c:pt>
                <c:pt idx="17">
                  <c:v>2025-08-26 15:55</c:v>
                </c:pt>
                <c:pt idx="18">
                  <c:v>2025-08-27 10:35</c:v>
                </c:pt>
                <c:pt idx="19">
                  <c:v>2025-08-27 10:45</c:v>
                </c:pt>
                <c:pt idx="20">
                  <c:v>2025-08-27 10:45</c:v>
                </c:pt>
                <c:pt idx="21">
                  <c:v>2025-08-27 10:50</c:v>
                </c:pt>
                <c:pt idx="22">
                  <c:v>2025-08-27 10:50</c:v>
                </c:pt>
                <c:pt idx="23">
                  <c:v>2025-08-27 14:15</c:v>
                </c:pt>
                <c:pt idx="24">
                  <c:v>2025-08-27 15:00</c:v>
                </c:pt>
                <c:pt idx="25">
                  <c:v>2025-08-27 15:20</c:v>
                </c:pt>
                <c:pt idx="26">
                  <c:v>2025-08-27 15:55</c:v>
                </c:pt>
                <c:pt idx="27">
                  <c:v>2025-08-27 16:05</c:v>
                </c:pt>
                <c:pt idx="28">
                  <c:v>2025-08-28 10:00</c:v>
                </c:pt>
                <c:pt idx="29">
                  <c:v>2025-08-28 12:20</c:v>
                </c:pt>
                <c:pt idx="30">
                  <c:v>2025-08-28 12:25</c:v>
                </c:pt>
                <c:pt idx="31">
                  <c:v>2025-08-28 12:25</c:v>
                </c:pt>
                <c:pt idx="32">
                  <c:v>2025-08-28 13:55</c:v>
                </c:pt>
                <c:pt idx="33">
                  <c:v>2025-08-28 14:00</c:v>
                </c:pt>
                <c:pt idx="34">
                  <c:v>2025-08-28 14:00</c:v>
                </c:pt>
                <c:pt idx="35">
                  <c:v>2025-08-28 14:15</c:v>
                </c:pt>
                <c:pt idx="36">
                  <c:v>2025-08-28 15:40</c:v>
                </c:pt>
                <c:pt idx="37">
                  <c:v>2025-08-28 15:40</c:v>
                </c:pt>
                <c:pt idx="38">
                  <c:v>2025-08-28 15:40</c:v>
                </c:pt>
                <c:pt idx="39">
                  <c:v>2025-08-28 16:15</c:v>
                </c:pt>
                <c:pt idx="40">
                  <c:v>2025-08-29 10:00</c:v>
                </c:pt>
                <c:pt idx="41">
                  <c:v>2025-08-29 10:05</c:v>
                </c:pt>
                <c:pt idx="42">
                  <c:v>2025-08-29 10:05</c:v>
                </c:pt>
                <c:pt idx="43">
                  <c:v>2025-08-29 12:10</c:v>
                </c:pt>
                <c:pt idx="44">
                  <c:v>2025-08-29 12:10</c:v>
                </c:pt>
                <c:pt idx="45">
                  <c:v>2025-08-29 14:10</c:v>
                </c:pt>
                <c:pt idx="46">
                  <c:v>2025-08-29 14:10</c:v>
                </c:pt>
                <c:pt idx="47">
                  <c:v>2025-08-29 14:45</c:v>
                </c:pt>
                <c:pt idx="48">
                  <c:v>2025-08-29 15:00</c:v>
                </c:pt>
                <c:pt idx="49">
                  <c:v>2025-08-29 15:05</c:v>
                </c:pt>
                <c:pt idx="50">
                  <c:v>2025-08-29 15:20</c:v>
                </c:pt>
                <c:pt idx="51">
                  <c:v>2025-08-29 15:20</c:v>
                </c:pt>
                <c:pt idx="52">
                  <c:v>2025-08-29 15:25</c:v>
                </c:pt>
                <c:pt idx="53">
                  <c:v>2025-08-29 15:45</c:v>
                </c:pt>
                <c:pt idx="54">
                  <c:v>2025-09-01 10:05</c:v>
                </c:pt>
                <c:pt idx="55">
                  <c:v>2025-09-01 14:00</c:v>
                </c:pt>
                <c:pt idx="56">
                  <c:v>2025-09-01 14:00</c:v>
                </c:pt>
                <c:pt idx="57">
                  <c:v>2025-09-01 14:10</c:v>
                </c:pt>
                <c:pt idx="58">
                  <c:v>2025-09-01 14:10</c:v>
                </c:pt>
                <c:pt idx="59">
                  <c:v>2025-09-01 14:15</c:v>
                </c:pt>
                <c:pt idx="60">
                  <c:v>2025-09-01 14:20</c:v>
                </c:pt>
                <c:pt idx="61">
                  <c:v>2025-09-01 14:40</c:v>
                </c:pt>
                <c:pt idx="62">
                  <c:v>2025-09-01 15:10</c:v>
                </c:pt>
                <c:pt idx="63">
                  <c:v>2025-09-01 16:25</c:v>
                </c:pt>
                <c:pt idx="64">
                  <c:v>2025-09-01 16:25</c:v>
                </c:pt>
                <c:pt idx="65">
                  <c:v>2025-09-02 10:00</c:v>
                </c:pt>
                <c:pt idx="66">
                  <c:v>2025-09-02 10:15</c:v>
                </c:pt>
                <c:pt idx="67">
                  <c:v>2025-09-02 10:15</c:v>
                </c:pt>
                <c:pt idx="68">
                  <c:v>2025-09-02 10:20</c:v>
                </c:pt>
                <c:pt idx="69">
                  <c:v>2025-09-02 10:50</c:v>
                </c:pt>
                <c:pt idx="70">
                  <c:v>2025-09-02 10:50</c:v>
                </c:pt>
                <c:pt idx="71">
                  <c:v>2025-09-02 11:50</c:v>
                </c:pt>
                <c:pt idx="72">
                  <c:v>2025-09-02 14:35</c:v>
                </c:pt>
                <c:pt idx="73">
                  <c:v>2025-09-02 14:35</c:v>
                </c:pt>
                <c:pt idx="74">
                  <c:v>2025-09-02 15:35</c:v>
                </c:pt>
                <c:pt idx="75">
                  <c:v>2025-09-03 10:00</c:v>
                </c:pt>
                <c:pt idx="76">
                  <c:v>2025-09-03 10:35</c:v>
                </c:pt>
                <c:pt idx="77">
                  <c:v>2025-09-03 12:25</c:v>
                </c:pt>
                <c:pt idx="78">
                  <c:v>2025-09-03 12:25</c:v>
                </c:pt>
                <c:pt idx="79">
                  <c:v>2025-09-03 15:10</c:v>
                </c:pt>
                <c:pt idx="80">
                  <c:v>2025-09-03 15:10</c:v>
                </c:pt>
                <c:pt idx="81">
                  <c:v>2025-09-03 15:25</c:v>
                </c:pt>
                <c:pt idx="82">
                  <c:v>2025-09-03 15:25</c:v>
                </c:pt>
                <c:pt idx="83">
                  <c:v>2025-09-04 10:00</c:v>
                </c:pt>
                <c:pt idx="84">
                  <c:v>2025-09-04 13:55</c:v>
                </c:pt>
                <c:pt idx="85">
                  <c:v>2025-09-04 13:55</c:v>
                </c:pt>
                <c:pt idx="86">
                  <c:v>2025-09-04 13:55</c:v>
                </c:pt>
                <c:pt idx="87">
                  <c:v>2025-09-04 14:00</c:v>
                </c:pt>
                <c:pt idx="88">
                  <c:v>2025-09-04 14:00</c:v>
                </c:pt>
                <c:pt idx="89">
                  <c:v>2025-09-04 14:05</c:v>
                </c:pt>
                <c:pt idx="90">
                  <c:v>2025-09-04 14:05</c:v>
                </c:pt>
                <c:pt idx="91">
                  <c:v>2025-09-04 16:05</c:v>
                </c:pt>
                <c:pt idx="92">
                  <c:v>2025-09-04 16:20</c:v>
                </c:pt>
                <c:pt idx="93">
                  <c:v>2025-09-04 16:20</c:v>
                </c:pt>
                <c:pt idx="94">
                  <c:v>2025-09-05 10:05</c:v>
                </c:pt>
                <c:pt idx="95">
                  <c:v>2025-09-05 10:45</c:v>
                </c:pt>
                <c:pt idx="96">
                  <c:v>2025-09-05 10:50</c:v>
                </c:pt>
                <c:pt idx="97">
                  <c:v>2025-09-05 11:40</c:v>
                </c:pt>
                <c:pt idx="98">
                  <c:v>2025-09-05 14:10</c:v>
                </c:pt>
                <c:pt idx="99">
                  <c:v>2025-09-05 14:10</c:v>
                </c:pt>
                <c:pt idx="100">
                  <c:v>2025-09-05 14:10</c:v>
                </c:pt>
                <c:pt idx="101">
                  <c:v>2025-09-05 14:25</c:v>
                </c:pt>
                <c:pt idx="102">
                  <c:v>2025-09-05 14:25</c:v>
                </c:pt>
                <c:pt idx="103">
                  <c:v>2025-09-05 14:40</c:v>
                </c:pt>
                <c:pt idx="104">
                  <c:v>2025-09-05 14:45</c:v>
                </c:pt>
                <c:pt idx="105">
                  <c:v>2025-09-05 15:05</c:v>
                </c:pt>
                <c:pt idx="106">
                  <c:v>2025-09-05 16:25</c:v>
                </c:pt>
                <c:pt idx="107">
                  <c:v>2025-09-05 16:25</c:v>
                </c:pt>
                <c:pt idx="108">
                  <c:v>2025-09-08 10:00</c:v>
                </c:pt>
                <c:pt idx="109">
                  <c:v>2025-09-08 10:00</c:v>
                </c:pt>
                <c:pt idx="110">
                  <c:v>2025-09-08 10:10</c:v>
                </c:pt>
                <c:pt idx="111">
                  <c:v>2025-09-08 10:10</c:v>
                </c:pt>
                <c:pt idx="112">
                  <c:v>2025-09-08 10:15</c:v>
                </c:pt>
                <c:pt idx="113">
                  <c:v>2025-09-08 10:15</c:v>
                </c:pt>
                <c:pt idx="114">
                  <c:v>2025-09-08 10:20</c:v>
                </c:pt>
                <c:pt idx="115">
                  <c:v>2025-09-08 10:35</c:v>
                </c:pt>
                <c:pt idx="116">
                  <c:v>2025-09-08 10:35</c:v>
                </c:pt>
                <c:pt idx="117">
                  <c:v>2025-09-08 10:40</c:v>
                </c:pt>
                <c:pt idx="118">
                  <c:v>2025-09-08 10:40</c:v>
                </c:pt>
                <c:pt idx="119">
                  <c:v>2025-09-08 12:25</c:v>
                </c:pt>
                <c:pt idx="120">
                  <c:v>2025-09-08 14:00</c:v>
                </c:pt>
                <c:pt idx="121">
                  <c:v>2025-09-08 14:00</c:v>
                </c:pt>
                <c:pt idx="122">
                  <c:v>2025-09-08 15:55</c:v>
                </c:pt>
                <c:pt idx="123">
                  <c:v>2025-09-09 10:05</c:v>
                </c:pt>
                <c:pt idx="124">
                  <c:v>2025-09-09 10:45</c:v>
                </c:pt>
                <c:pt idx="125">
                  <c:v>2025-09-09 11:30</c:v>
                </c:pt>
                <c:pt idx="126">
                  <c:v>2025-09-09 12:15</c:v>
                </c:pt>
                <c:pt idx="127">
                  <c:v>2025-09-09 12:25</c:v>
                </c:pt>
                <c:pt idx="128">
                  <c:v>2025-09-09 13:55</c:v>
                </c:pt>
                <c:pt idx="129">
                  <c:v>2025-09-09 13:55</c:v>
                </c:pt>
                <c:pt idx="130">
                  <c:v>2025-09-09 14:35</c:v>
                </c:pt>
                <c:pt idx="131">
                  <c:v>2025-09-09 14:35</c:v>
                </c:pt>
                <c:pt idx="132">
                  <c:v>2025-09-09 15:45</c:v>
                </c:pt>
                <c:pt idx="133">
                  <c:v>2025-09-09 15:45</c:v>
                </c:pt>
                <c:pt idx="134">
                  <c:v>2025-09-10 10:00</c:v>
                </c:pt>
                <c:pt idx="135">
                  <c:v>2025-09-10 10:00</c:v>
                </c:pt>
                <c:pt idx="136">
                  <c:v>2025-09-10 10:15</c:v>
                </c:pt>
                <c:pt idx="137">
                  <c:v>2025-09-10 11:15</c:v>
                </c:pt>
                <c:pt idx="138">
                  <c:v>2025-09-10 13:55</c:v>
                </c:pt>
                <c:pt idx="139">
                  <c:v>2025-09-10 13:55</c:v>
                </c:pt>
                <c:pt idx="140">
                  <c:v>2025-09-10 14:45</c:v>
                </c:pt>
                <c:pt idx="141">
                  <c:v>2025-09-10 14:45</c:v>
                </c:pt>
                <c:pt idx="142">
                  <c:v>2025-09-10 15:10</c:v>
                </c:pt>
                <c:pt idx="143">
                  <c:v>2025-09-10 15:25</c:v>
                </c:pt>
                <c:pt idx="144">
                  <c:v>2025-09-10 15:25</c:v>
                </c:pt>
                <c:pt idx="145">
                  <c:v>2025-09-10 15:30</c:v>
                </c:pt>
                <c:pt idx="146">
                  <c:v>2025-09-10 15:30</c:v>
                </c:pt>
                <c:pt idx="147">
                  <c:v>2025-09-10 15:35</c:v>
                </c:pt>
                <c:pt idx="148">
                  <c:v>2025-09-10 15:35</c:v>
                </c:pt>
                <c:pt idx="149">
                  <c:v>2025-09-10 15:55</c:v>
                </c:pt>
                <c:pt idx="150">
                  <c:v>2025-09-10 15:55</c:v>
                </c:pt>
                <c:pt idx="151">
                  <c:v>2025-09-10 16:00</c:v>
                </c:pt>
                <c:pt idx="152">
                  <c:v>2025-09-11 10:00</c:v>
                </c:pt>
              </c:strCache>
            </c:strRef>
          </c:cat>
          <c:val>
            <c:numRef>
              <c:f>events!$E$249:$E$401</c:f>
              <c:numCache>
                <c:formatCode>General</c:formatCode>
                <c:ptCount val="153"/>
                <c:pt idx="0">
                  <c:v>23.29999923706055</c:v>
                </c:pt>
                <c:pt idx="1">
                  <c:v>23.10000038146973</c:v>
                </c:pt>
                <c:pt idx="2">
                  <c:v>23.10000038146973</c:v>
                </c:pt>
                <c:pt idx="3">
                  <c:v>23.5</c:v>
                </c:pt>
                <c:pt idx="4">
                  <c:v>23.5</c:v>
                </c:pt>
                <c:pt idx="5">
                  <c:v>23.10000038146973</c:v>
                </c:pt>
                <c:pt idx="6">
                  <c:v>23.10000038146973</c:v>
                </c:pt>
                <c:pt idx="7">
                  <c:v>23</c:v>
                </c:pt>
                <c:pt idx="8">
                  <c:v>23</c:v>
                </c:pt>
                <c:pt idx="9">
                  <c:v>22.89999961853027</c:v>
                </c:pt>
                <c:pt idx="10">
                  <c:v>23</c:v>
                </c:pt>
                <c:pt idx="11">
                  <c:v>23.20000076293945</c:v>
                </c:pt>
                <c:pt idx="12">
                  <c:v>23.29999923706055</c:v>
                </c:pt>
                <c:pt idx="13">
                  <c:v>23.20000076293945</c:v>
                </c:pt>
                <c:pt idx="14">
                  <c:v>23.20000076293945</c:v>
                </c:pt>
                <c:pt idx="15">
                  <c:v>23.20000076293945</c:v>
                </c:pt>
                <c:pt idx="16">
                  <c:v>23.20000076293945</c:v>
                </c:pt>
                <c:pt idx="17">
                  <c:v>23.20000076293945</c:v>
                </c:pt>
                <c:pt idx="18">
                  <c:v>23</c:v>
                </c:pt>
                <c:pt idx="19">
                  <c:v>22.5</c:v>
                </c:pt>
                <c:pt idx="20">
                  <c:v>22.5</c:v>
                </c:pt>
                <c:pt idx="21">
                  <c:v>22.5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22.39999961853027</c:v>
                </c:pt>
                <c:pt idx="26">
                  <c:v>22.29999923706055</c:v>
                </c:pt>
                <c:pt idx="27">
                  <c:v>22.39999961853027</c:v>
                </c:pt>
                <c:pt idx="28">
                  <c:v>22.29999923706055</c:v>
                </c:pt>
                <c:pt idx="29">
                  <c:v>22.20000076293945</c:v>
                </c:pt>
                <c:pt idx="30">
                  <c:v>21.89999961853027</c:v>
                </c:pt>
                <c:pt idx="31">
                  <c:v>21.89999961853027</c:v>
                </c:pt>
                <c:pt idx="32">
                  <c:v>21.89999961853027</c:v>
                </c:pt>
                <c:pt idx="33">
                  <c:v>21.79999923706055</c:v>
                </c:pt>
                <c:pt idx="34">
                  <c:v>21.79999923706055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21.89999961853027</c:v>
                </c:pt>
                <c:pt idx="40">
                  <c:v>22.29999923706055</c:v>
                </c:pt>
                <c:pt idx="41">
                  <c:v>22.29999923706055</c:v>
                </c:pt>
                <c:pt idx="42">
                  <c:v>22.29999923706055</c:v>
                </c:pt>
                <c:pt idx="43">
                  <c:v>21.89999961853027</c:v>
                </c:pt>
                <c:pt idx="44">
                  <c:v>21.89999961853027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21.89999961853027</c:v>
                </c:pt>
                <c:pt idx="50">
                  <c:v>22.20000076293945</c:v>
                </c:pt>
                <c:pt idx="51">
                  <c:v>22.20000076293945</c:v>
                </c:pt>
                <c:pt idx="52">
                  <c:v>21.89999961853027</c:v>
                </c:pt>
                <c:pt idx="53">
                  <c:v>22</c:v>
                </c:pt>
                <c:pt idx="54">
                  <c:v>21.60000038146973</c:v>
                </c:pt>
                <c:pt idx="55">
                  <c:v>21.60000038146973</c:v>
                </c:pt>
                <c:pt idx="56">
                  <c:v>21.60000038146973</c:v>
                </c:pt>
                <c:pt idx="57">
                  <c:v>21.79999923706055</c:v>
                </c:pt>
                <c:pt idx="58">
                  <c:v>21.79999923706055</c:v>
                </c:pt>
                <c:pt idx="59">
                  <c:v>21.70000076293945</c:v>
                </c:pt>
                <c:pt idx="60">
                  <c:v>21.70000076293945</c:v>
                </c:pt>
                <c:pt idx="61">
                  <c:v>21.5</c:v>
                </c:pt>
                <c:pt idx="62">
                  <c:v>21.5</c:v>
                </c:pt>
                <c:pt idx="63">
                  <c:v>21.60000038146973</c:v>
                </c:pt>
                <c:pt idx="64">
                  <c:v>21.60000038146973</c:v>
                </c:pt>
                <c:pt idx="65">
                  <c:v>22.10000038146973</c:v>
                </c:pt>
                <c:pt idx="66">
                  <c:v>22.20000076293945</c:v>
                </c:pt>
                <c:pt idx="67">
                  <c:v>22.20000076293945</c:v>
                </c:pt>
                <c:pt idx="68">
                  <c:v>22</c:v>
                </c:pt>
                <c:pt idx="69">
                  <c:v>22.29999923706055</c:v>
                </c:pt>
                <c:pt idx="70">
                  <c:v>22.29999923706055</c:v>
                </c:pt>
                <c:pt idx="71">
                  <c:v>22.29999923706055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22.10000038146973</c:v>
                </c:pt>
                <c:pt idx="76">
                  <c:v>21.89999961853027</c:v>
                </c:pt>
                <c:pt idx="77">
                  <c:v>21.89999961853027</c:v>
                </c:pt>
                <c:pt idx="78">
                  <c:v>21.89999961853027</c:v>
                </c:pt>
                <c:pt idx="79">
                  <c:v>21.70000076293945</c:v>
                </c:pt>
                <c:pt idx="80">
                  <c:v>21.70000076293945</c:v>
                </c:pt>
                <c:pt idx="81">
                  <c:v>21.79999923706055</c:v>
                </c:pt>
                <c:pt idx="82">
                  <c:v>21.79999923706055</c:v>
                </c:pt>
                <c:pt idx="83">
                  <c:v>22</c:v>
                </c:pt>
                <c:pt idx="84">
                  <c:v>21.79999923706055</c:v>
                </c:pt>
                <c:pt idx="85">
                  <c:v>21.79999923706055</c:v>
                </c:pt>
                <c:pt idx="86">
                  <c:v>21.79999923706055</c:v>
                </c:pt>
                <c:pt idx="87">
                  <c:v>21.70000076293945</c:v>
                </c:pt>
                <c:pt idx="88">
                  <c:v>21.70000076293945</c:v>
                </c:pt>
                <c:pt idx="89">
                  <c:v>21.70000076293945</c:v>
                </c:pt>
                <c:pt idx="90">
                  <c:v>21.70000076293945</c:v>
                </c:pt>
                <c:pt idx="91">
                  <c:v>21.5</c:v>
                </c:pt>
                <c:pt idx="92">
                  <c:v>21.5</c:v>
                </c:pt>
                <c:pt idx="93">
                  <c:v>21.5</c:v>
                </c:pt>
                <c:pt idx="94">
                  <c:v>21.60000038146973</c:v>
                </c:pt>
                <c:pt idx="95">
                  <c:v>21.79999923706055</c:v>
                </c:pt>
                <c:pt idx="96">
                  <c:v>21.89999961853027</c:v>
                </c:pt>
                <c:pt idx="97">
                  <c:v>21.79999923706055</c:v>
                </c:pt>
                <c:pt idx="98">
                  <c:v>21.89999961853027</c:v>
                </c:pt>
                <c:pt idx="99">
                  <c:v>21.89999961853027</c:v>
                </c:pt>
                <c:pt idx="100">
                  <c:v>21.89999961853027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22.10000038146973</c:v>
                </c:pt>
                <c:pt idx="105">
                  <c:v>22.10000038146973</c:v>
                </c:pt>
                <c:pt idx="106">
                  <c:v>22</c:v>
                </c:pt>
                <c:pt idx="107">
                  <c:v>22</c:v>
                </c:pt>
                <c:pt idx="108">
                  <c:v>22.70000076293945</c:v>
                </c:pt>
                <c:pt idx="109">
                  <c:v>22.70000076293945</c:v>
                </c:pt>
                <c:pt idx="110">
                  <c:v>22.60000038146973</c:v>
                </c:pt>
                <c:pt idx="111">
                  <c:v>22.60000038146973</c:v>
                </c:pt>
                <c:pt idx="112">
                  <c:v>22.60000038146973</c:v>
                </c:pt>
                <c:pt idx="113">
                  <c:v>22.60000038146973</c:v>
                </c:pt>
                <c:pt idx="114">
                  <c:v>22.70000076293945</c:v>
                </c:pt>
                <c:pt idx="115">
                  <c:v>23.10000038146973</c:v>
                </c:pt>
                <c:pt idx="116">
                  <c:v>23.10000038146973</c:v>
                </c:pt>
                <c:pt idx="117">
                  <c:v>23.10000038146973</c:v>
                </c:pt>
                <c:pt idx="118">
                  <c:v>23.10000038146973</c:v>
                </c:pt>
                <c:pt idx="119">
                  <c:v>23.20000076293945</c:v>
                </c:pt>
                <c:pt idx="120">
                  <c:v>23.60000038146973</c:v>
                </c:pt>
                <c:pt idx="121">
                  <c:v>23.60000038146973</c:v>
                </c:pt>
                <c:pt idx="122">
                  <c:v>23.20000076293945</c:v>
                </c:pt>
                <c:pt idx="123">
                  <c:v>23.20000076293945</c:v>
                </c:pt>
                <c:pt idx="124">
                  <c:v>23.10000038146973</c:v>
                </c:pt>
                <c:pt idx="125">
                  <c:v>23</c:v>
                </c:pt>
                <c:pt idx="126">
                  <c:v>22.89999961853027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23.20000076293945</c:v>
                </c:pt>
                <c:pt idx="131">
                  <c:v>23.20000076293945</c:v>
                </c:pt>
                <c:pt idx="132">
                  <c:v>23.10000038146973</c:v>
                </c:pt>
                <c:pt idx="133">
                  <c:v>23.10000038146973</c:v>
                </c:pt>
                <c:pt idx="134">
                  <c:v>23.39999961853027</c:v>
                </c:pt>
                <c:pt idx="135">
                  <c:v>23.39999961853027</c:v>
                </c:pt>
                <c:pt idx="136">
                  <c:v>23.60000038146973</c:v>
                </c:pt>
                <c:pt idx="137">
                  <c:v>23.10000038146973</c:v>
                </c:pt>
                <c:pt idx="138">
                  <c:v>23.39999961853027</c:v>
                </c:pt>
                <c:pt idx="139">
                  <c:v>23.39999961853027</c:v>
                </c:pt>
                <c:pt idx="140">
                  <c:v>23.39999961853027</c:v>
                </c:pt>
                <c:pt idx="141">
                  <c:v>23.39999961853027</c:v>
                </c:pt>
                <c:pt idx="142">
                  <c:v>23.60000038146973</c:v>
                </c:pt>
                <c:pt idx="143">
                  <c:v>23.70000076293945</c:v>
                </c:pt>
                <c:pt idx="144">
                  <c:v>23.70000076293945</c:v>
                </c:pt>
                <c:pt idx="145">
                  <c:v>23.89999961853027</c:v>
                </c:pt>
                <c:pt idx="146">
                  <c:v>23.89999961853027</c:v>
                </c:pt>
                <c:pt idx="147">
                  <c:v>24</c:v>
                </c:pt>
                <c:pt idx="148">
                  <c:v>24</c:v>
                </c:pt>
                <c:pt idx="149">
                  <c:v>24.39999961853027</c:v>
                </c:pt>
                <c:pt idx="150">
                  <c:v>24.39999961853027</c:v>
                </c:pt>
                <c:pt idx="151">
                  <c:v>24.20000076293945</c:v>
                </c:pt>
                <c:pt idx="152">
                  <c:v>24.10000038146973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C-4254-B8DA-4A48EE4D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78991"/>
        <c:axId val="682579823"/>
      </c:barChart>
      <c:lineChart>
        <c:grouping val="stacke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events!$B$249:$B$401</c:f>
              <c:strCache>
                <c:ptCount val="153"/>
                <c:pt idx="0">
                  <c:v>2025-08-25 10:00</c:v>
                </c:pt>
                <c:pt idx="1">
                  <c:v>2025-08-25 10:05</c:v>
                </c:pt>
                <c:pt idx="2">
                  <c:v>2025-08-25 10:05</c:v>
                </c:pt>
                <c:pt idx="3">
                  <c:v>2025-08-25 11:05</c:v>
                </c:pt>
                <c:pt idx="4">
                  <c:v>2025-08-25 11:05</c:v>
                </c:pt>
                <c:pt idx="5">
                  <c:v>2025-08-25 14:10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10:55</c:v>
                </c:pt>
                <c:pt idx="10">
                  <c:v>2025-08-26 11:20</c:v>
                </c:pt>
                <c:pt idx="11">
                  <c:v>2025-08-26 11:30</c:v>
                </c:pt>
                <c:pt idx="12">
                  <c:v>2025-08-26 11:35</c:v>
                </c:pt>
                <c:pt idx="13">
                  <c:v>2025-08-26 14:05</c:v>
                </c:pt>
                <c:pt idx="14">
                  <c:v>2025-08-26 14:05</c:v>
                </c:pt>
                <c:pt idx="15">
                  <c:v>2025-08-26 15:55</c:v>
                </c:pt>
                <c:pt idx="16">
                  <c:v>2025-08-26 15:55</c:v>
                </c:pt>
                <c:pt idx="17">
                  <c:v>2025-08-26 15:55</c:v>
                </c:pt>
                <c:pt idx="18">
                  <c:v>2025-08-27 10:35</c:v>
                </c:pt>
                <c:pt idx="19">
                  <c:v>2025-08-27 10:45</c:v>
                </c:pt>
                <c:pt idx="20">
                  <c:v>2025-08-27 10:45</c:v>
                </c:pt>
                <c:pt idx="21">
                  <c:v>2025-08-27 10:50</c:v>
                </c:pt>
                <c:pt idx="22">
                  <c:v>2025-08-27 10:50</c:v>
                </c:pt>
                <c:pt idx="23">
                  <c:v>2025-08-27 14:15</c:v>
                </c:pt>
                <c:pt idx="24">
                  <c:v>2025-08-27 15:00</c:v>
                </c:pt>
                <c:pt idx="25">
                  <c:v>2025-08-27 15:20</c:v>
                </c:pt>
                <c:pt idx="26">
                  <c:v>2025-08-27 15:55</c:v>
                </c:pt>
                <c:pt idx="27">
                  <c:v>2025-08-27 16:05</c:v>
                </c:pt>
                <c:pt idx="28">
                  <c:v>2025-08-28 10:00</c:v>
                </c:pt>
                <c:pt idx="29">
                  <c:v>2025-08-28 12:20</c:v>
                </c:pt>
                <c:pt idx="30">
                  <c:v>2025-08-28 12:25</c:v>
                </c:pt>
                <c:pt idx="31">
                  <c:v>2025-08-28 12:25</c:v>
                </c:pt>
                <c:pt idx="32">
                  <c:v>2025-08-28 13:55</c:v>
                </c:pt>
                <c:pt idx="33">
                  <c:v>2025-08-28 14:00</c:v>
                </c:pt>
                <c:pt idx="34">
                  <c:v>2025-08-28 14:00</c:v>
                </c:pt>
                <c:pt idx="35">
                  <c:v>2025-08-28 14:15</c:v>
                </c:pt>
                <c:pt idx="36">
                  <c:v>2025-08-28 15:40</c:v>
                </c:pt>
                <c:pt idx="37">
                  <c:v>2025-08-28 15:40</c:v>
                </c:pt>
                <c:pt idx="38">
                  <c:v>2025-08-28 15:40</c:v>
                </c:pt>
                <c:pt idx="39">
                  <c:v>2025-08-28 16:15</c:v>
                </c:pt>
                <c:pt idx="40">
                  <c:v>2025-08-29 10:00</c:v>
                </c:pt>
                <c:pt idx="41">
                  <c:v>2025-08-29 10:05</c:v>
                </c:pt>
                <c:pt idx="42">
                  <c:v>2025-08-29 10:05</c:v>
                </c:pt>
                <c:pt idx="43">
                  <c:v>2025-08-29 12:10</c:v>
                </c:pt>
                <c:pt idx="44">
                  <c:v>2025-08-29 12:10</c:v>
                </c:pt>
                <c:pt idx="45">
                  <c:v>2025-08-29 14:10</c:v>
                </c:pt>
                <c:pt idx="46">
                  <c:v>2025-08-29 14:10</c:v>
                </c:pt>
                <c:pt idx="47">
                  <c:v>2025-08-29 14:45</c:v>
                </c:pt>
                <c:pt idx="48">
                  <c:v>2025-08-29 15:00</c:v>
                </c:pt>
                <c:pt idx="49">
                  <c:v>2025-08-29 15:05</c:v>
                </c:pt>
                <c:pt idx="50">
                  <c:v>2025-08-29 15:20</c:v>
                </c:pt>
                <c:pt idx="51">
                  <c:v>2025-08-29 15:20</c:v>
                </c:pt>
                <c:pt idx="52">
                  <c:v>2025-08-29 15:25</c:v>
                </c:pt>
                <c:pt idx="53">
                  <c:v>2025-08-29 15:45</c:v>
                </c:pt>
                <c:pt idx="54">
                  <c:v>2025-09-01 10:05</c:v>
                </c:pt>
                <c:pt idx="55">
                  <c:v>2025-09-01 14:00</c:v>
                </c:pt>
                <c:pt idx="56">
                  <c:v>2025-09-01 14:00</c:v>
                </c:pt>
                <c:pt idx="57">
                  <c:v>2025-09-01 14:10</c:v>
                </c:pt>
                <c:pt idx="58">
                  <c:v>2025-09-01 14:10</c:v>
                </c:pt>
                <c:pt idx="59">
                  <c:v>2025-09-01 14:15</c:v>
                </c:pt>
                <c:pt idx="60">
                  <c:v>2025-09-01 14:20</c:v>
                </c:pt>
                <c:pt idx="61">
                  <c:v>2025-09-01 14:40</c:v>
                </c:pt>
                <c:pt idx="62">
                  <c:v>2025-09-01 15:10</c:v>
                </c:pt>
                <c:pt idx="63">
                  <c:v>2025-09-01 16:25</c:v>
                </c:pt>
                <c:pt idx="64">
                  <c:v>2025-09-01 16:25</c:v>
                </c:pt>
                <c:pt idx="65">
                  <c:v>2025-09-02 10:00</c:v>
                </c:pt>
                <c:pt idx="66">
                  <c:v>2025-09-02 10:15</c:v>
                </c:pt>
                <c:pt idx="67">
                  <c:v>2025-09-02 10:15</c:v>
                </c:pt>
                <c:pt idx="68">
                  <c:v>2025-09-02 10:20</c:v>
                </c:pt>
                <c:pt idx="69">
                  <c:v>2025-09-02 10:50</c:v>
                </c:pt>
                <c:pt idx="70">
                  <c:v>2025-09-02 10:50</c:v>
                </c:pt>
                <c:pt idx="71">
                  <c:v>2025-09-02 11:50</c:v>
                </c:pt>
                <c:pt idx="72">
                  <c:v>2025-09-02 14:35</c:v>
                </c:pt>
                <c:pt idx="73">
                  <c:v>2025-09-02 14:35</c:v>
                </c:pt>
                <c:pt idx="74">
                  <c:v>2025-09-02 15:35</c:v>
                </c:pt>
                <c:pt idx="75">
                  <c:v>2025-09-03 10:00</c:v>
                </c:pt>
                <c:pt idx="76">
                  <c:v>2025-09-03 10:35</c:v>
                </c:pt>
                <c:pt idx="77">
                  <c:v>2025-09-03 12:25</c:v>
                </c:pt>
                <c:pt idx="78">
                  <c:v>2025-09-03 12:25</c:v>
                </c:pt>
                <c:pt idx="79">
                  <c:v>2025-09-03 15:10</c:v>
                </c:pt>
                <c:pt idx="80">
                  <c:v>2025-09-03 15:10</c:v>
                </c:pt>
                <c:pt idx="81">
                  <c:v>2025-09-03 15:25</c:v>
                </c:pt>
                <c:pt idx="82">
                  <c:v>2025-09-03 15:25</c:v>
                </c:pt>
                <c:pt idx="83">
                  <c:v>2025-09-04 10:00</c:v>
                </c:pt>
                <c:pt idx="84">
                  <c:v>2025-09-04 13:55</c:v>
                </c:pt>
                <c:pt idx="85">
                  <c:v>2025-09-04 13:55</c:v>
                </c:pt>
                <c:pt idx="86">
                  <c:v>2025-09-04 13:55</c:v>
                </c:pt>
                <c:pt idx="87">
                  <c:v>2025-09-04 14:00</c:v>
                </c:pt>
                <c:pt idx="88">
                  <c:v>2025-09-04 14:00</c:v>
                </c:pt>
                <c:pt idx="89">
                  <c:v>2025-09-04 14:05</c:v>
                </c:pt>
                <c:pt idx="90">
                  <c:v>2025-09-04 14:05</c:v>
                </c:pt>
                <c:pt idx="91">
                  <c:v>2025-09-04 16:05</c:v>
                </c:pt>
                <c:pt idx="92">
                  <c:v>2025-09-04 16:20</c:v>
                </c:pt>
                <c:pt idx="93">
                  <c:v>2025-09-04 16:20</c:v>
                </c:pt>
                <c:pt idx="94">
                  <c:v>2025-09-05 10:05</c:v>
                </c:pt>
                <c:pt idx="95">
                  <c:v>2025-09-05 10:45</c:v>
                </c:pt>
                <c:pt idx="96">
                  <c:v>2025-09-05 10:50</c:v>
                </c:pt>
                <c:pt idx="97">
                  <c:v>2025-09-05 11:40</c:v>
                </c:pt>
                <c:pt idx="98">
                  <c:v>2025-09-05 14:10</c:v>
                </c:pt>
                <c:pt idx="99">
                  <c:v>2025-09-05 14:10</c:v>
                </c:pt>
                <c:pt idx="100">
                  <c:v>2025-09-05 14:10</c:v>
                </c:pt>
                <c:pt idx="101">
                  <c:v>2025-09-05 14:25</c:v>
                </c:pt>
                <c:pt idx="102">
                  <c:v>2025-09-05 14:25</c:v>
                </c:pt>
                <c:pt idx="103">
                  <c:v>2025-09-05 14:40</c:v>
                </c:pt>
                <c:pt idx="104">
                  <c:v>2025-09-05 14:45</c:v>
                </c:pt>
                <c:pt idx="105">
                  <c:v>2025-09-05 15:05</c:v>
                </c:pt>
                <c:pt idx="106">
                  <c:v>2025-09-05 16:25</c:v>
                </c:pt>
                <c:pt idx="107">
                  <c:v>2025-09-05 16:25</c:v>
                </c:pt>
                <c:pt idx="108">
                  <c:v>2025-09-08 10:00</c:v>
                </c:pt>
                <c:pt idx="109">
                  <c:v>2025-09-08 10:00</c:v>
                </c:pt>
                <c:pt idx="110">
                  <c:v>2025-09-08 10:10</c:v>
                </c:pt>
                <c:pt idx="111">
                  <c:v>2025-09-08 10:10</c:v>
                </c:pt>
                <c:pt idx="112">
                  <c:v>2025-09-08 10:15</c:v>
                </c:pt>
                <c:pt idx="113">
                  <c:v>2025-09-08 10:15</c:v>
                </c:pt>
                <c:pt idx="114">
                  <c:v>2025-09-08 10:20</c:v>
                </c:pt>
                <c:pt idx="115">
                  <c:v>2025-09-08 10:35</c:v>
                </c:pt>
                <c:pt idx="116">
                  <c:v>2025-09-08 10:35</c:v>
                </c:pt>
                <c:pt idx="117">
                  <c:v>2025-09-08 10:40</c:v>
                </c:pt>
                <c:pt idx="118">
                  <c:v>2025-09-08 10:40</c:v>
                </c:pt>
                <c:pt idx="119">
                  <c:v>2025-09-08 12:25</c:v>
                </c:pt>
                <c:pt idx="120">
                  <c:v>2025-09-08 14:00</c:v>
                </c:pt>
                <c:pt idx="121">
                  <c:v>2025-09-08 14:00</c:v>
                </c:pt>
                <c:pt idx="122">
                  <c:v>2025-09-08 15:55</c:v>
                </c:pt>
                <c:pt idx="123">
                  <c:v>2025-09-09 10:05</c:v>
                </c:pt>
                <c:pt idx="124">
                  <c:v>2025-09-09 10:45</c:v>
                </c:pt>
                <c:pt idx="125">
                  <c:v>2025-09-09 11:30</c:v>
                </c:pt>
                <c:pt idx="126">
                  <c:v>2025-09-09 12:15</c:v>
                </c:pt>
                <c:pt idx="127">
                  <c:v>2025-09-09 12:25</c:v>
                </c:pt>
                <c:pt idx="128">
                  <c:v>2025-09-09 13:55</c:v>
                </c:pt>
                <c:pt idx="129">
                  <c:v>2025-09-09 13:55</c:v>
                </c:pt>
                <c:pt idx="130">
                  <c:v>2025-09-09 14:35</c:v>
                </c:pt>
                <c:pt idx="131">
                  <c:v>2025-09-09 14:35</c:v>
                </c:pt>
                <c:pt idx="132">
                  <c:v>2025-09-09 15:45</c:v>
                </c:pt>
                <c:pt idx="133">
                  <c:v>2025-09-09 15:45</c:v>
                </c:pt>
                <c:pt idx="134">
                  <c:v>2025-09-10 10:00</c:v>
                </c:pt>
                <c:pt idx="135">
                  <c:v>2025-09-10 10:00</c:v>
                </c:pt>
                <c:pt idx="136">
                  <c:v>2025-09-10 10:15</c:v>
                </c:pt>
                <c:pt idx="137">
                  <c:v>2025-09-10 11:15</c:v>
                </c:pt>
                <c:pt idx="138">
                  <c:v>2025-09-10 13:55</c:v>
                </c:pt>
                <c:pt idx="139">
                  <c:v>2025-09-10 13:55</c:v>
                </c:pt>
                <c:pt idx="140">
                  <c:v>2025-09-10 14:45</c:v>
                </c:pt>
                <c:pt idx="141">
                  <c:v>2025-09-10 14:45</c:v>
                </c:pt>
                <c:pt idx="142">
                  <c:v>2025-09-10 15:10</c:v>
                </c:pt>
                <c:pt idx="143">
                  <c:v>2025-09-10 15:25</c:v>
                </c:pt>
                <c:pt idx="144">
                  <c:v>2025-09-10 15:25</c:v>
                </c:pt>
                <c:pt idx="145">
                  <c:v>2025-09-10 15:30</c:v>
                </c:pt>
                <c:pt idx="146">
                  <c:v>2025-09-10 15:30</c:v>
                </c:pt>
                <c:pt idx="147">
                  <c:v>2025-09-10 15:35</c:v>
                </c:pt>
                <c:pt idx="148">
                  <c:v>2025-09-10 15:35</c:v>
                </c:pt>
                <c:pt idx="149">
                  <c:v>2025-09-10 15:55</c:v>
                </c:pt>
                <c:pt idx="150">
                  <c:v>2025-09-10 15:55</c:v>
                </c:pt>
                <c:pt idx="151">
                  <c:v>2025-09-10 16:00</c:v>
                </c:pt>
                <c:pt idx="152">
                  <c:v>2025-09-11 10:00</c:v>
                </c:pt>
              </c:strCache>
            </c:strRef>
          </c:cat>
          <c:val>
            <c:numRef>
              <c:f>events!$M$249:$M$401</c:f>
              <c:numCache>
                <c:formatCode>General</c:formatCode>
                <c:ptCount val="153"/>
                <c:pt idx="0">
                  <c:v>0</c:v>
                </c:pt>
                <c:pt idx="1">
                  <c:v>1.731600051622266</c:v>
                </c:pt>
                <c:pt idx="2">
                  <c:v>1.731600051622266</c:v>
                </c:pt>
                <c:pt idx="3">
                  <c:v>0.42553353816904932</c:v>
                </c:pt>
                <c:pt idx="4">
                  <c:v>0.42553353816904932</c:v>
                </c:pt>
                <c:pt idx="5">
                  <c:v>0.43290207713565448</c:v>
                </c:pt>
                <c:pt idx="6">
                  <c:v>-0.43290207713565448</c:v>
                </c:pt>
                <c:pt idx="7">
                  <c:v>-0.43478426725968072</c:v>
                </c:pt>
                <c:pt idx="8">
                  <c:v>-0.43478426725968072</c:v>
                </c:pt>
                <c:pt idx="9">
                  <c:v>1.7467232541200599</c:v>
                </c:pt>
                <c:pt idx="10">
                  <c:v>0.86956853451936145</c:v>
                </c:pt>
                <c:pt idx="11">
                  <c:v>-0.43103611284992238</c:v>
                </c:pt>
                <c:pt idx="12">
                  <c:v>-0.42917801457279892</c:v>
                </c:pt>
                <c:pt idx="13">
                  <c:v>-0.43103611284992238</c:v>
                </c:pt>
                <c:pt idx="14">
                  <c:v>-0.43103611284992238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-1.304344508958899</c:v>
                </c:pt>
                <c:pt idx="19">
                  <c:v>0.88889227973090279</c:v>
                </c:pt>
                <c:pt idx="20">
                  <c:v>0.88889227973090279</c:v>
                </c:pt>
                <c:pt idx="21">
                  <c:v>0.88889227973090279</c:v>
                </c:pt>
                <c:pt idx="22">
                  <c:v>0.88889227973090279</c:v>
                </c:pt>
                <c:pt idx="23">
                  <c:v>0</c:v>
                </c:pt>
                <c:pt idx="24">
                  <c:v>-0.88889227973090279</c:v>
                </c:pt>
                <c:pt idx="25">
                  <c:v>-0.89285204909277049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-0.9009043066040483</c:v>
                </c:pt>
                <c:pt idx="30">
                  <c:v>0.45662275439088651</c:v>
                </c:pt>
                <c:pt idx="31">
                  <c:v>0.45662275439088651</c:v>
                </c:pt>
                <c:pt idx="32">
                  <c:v>0.45662275439088651</c:v>
                </c:pt>
                <c:pt idx="33">
                  <c:v>0.91743472449047969</c:v>
                </c:pt>
                <c:pt idx="34">
                  <c:v>0.91743472449047969</c:v>
                </c:pt>
                <c:pt idx="35">
                  <c:v>0</c:v>
                </c:pt>
                <c:pt idx="36">
                  <c:v>0.90909437699751416</c:v>
                </c:pt>
                <c:pt idx="37">
                  <c:v>0.90909437699751416</c:v>
                </c:pt>
                <c:pt idx="38">
                  <c:v>0.90909437699751416</c:v>
                </c:pt>
                <c:pt idx="39">
                  <c:v>0.45662275439088651</c:v>
                </c:pt>
                <c:pt idx="40">
                  <c:v>-0.89685588535106597</c:v>
                </c:pt>
                <c:pt idx="41">
                  <c:v>-1.793720323835307</c:v>
                </c:pt>
                <c:pt idx="42">
                  <c:v>-1.793720323835307</c:v>
                </c:pt>
                <c:pt idx="43">
                  <c:v>0</c:v>
                </c:pt>
                <c:pt idx="44">
                  <c:v>0</c:v>
                </c:pt>
                <c:pt idx="45">
                  <c:v>-0.90909437699751416</c:v>
                </c:pt>
                <c:pt idx="46">
                  <c:v>-0.90909437699751416</c:v>
                </c:pt>
                <c:pt idx="47">
                  <c:v>0</c:v>
                </c:pt>
                <c:pt idx="48">
                  <c:v>-0.45454718849875708</c:v>
                </c:pt>
                <c:pt idx="49">
                  <c:v>-0.45662275439088651</c:v>
                </c:pt>
                <c:pt idx="50">
                  <c:v>-1.351356459906073</c:v>
                </c:pt>
                <c:pt idx="51">
                  <c:v>-1.351356459906073</c:v>
                </c:pt>
                <c:pt idx="52">
                  <c:v>-0.45662275439088651</c:v>
                </c:pt>
                <c:pt idx="53">
                  <c:v>-0.90909437699751416</c:v>
                </c:pt>
                <c:pt idx="54">
                  <c:v>0.46296472085026058</c:v>
                </c:pt>
                <c:pt idx="55">
                  <c:v>-0.46296472085026058</c:v>
                </c:pt>
                <c:pt idx="56">
                  <c:v>-0.46296472085026058</c:v>
                </c:pt>
                <c:pt idx="57">
                  <c:v>-1.376143337429758</c:v>
                </c:pt>
                <c:pt idx="58">
                  <c:v>-1.376143337429758</c:v>
                </c:pt>
                <c:pt idx="59">
                  <c:v>-0.46083123481042981</c:v>
                </c:pt>
                <c:pt idx="60">
                  <c:v>-0.92166246962085951</c:v>
                </c:pt>
                <c:pt idx="61">
                  <c:v>0</c:v>
                </c:pt>
                <c:pt idx="62">
                  <c:v>0</c:v>
                </c:pt>
                <c:pt idx="63">
                  <c:v>3.703700106166909</c:v>
                </c:pt>
                <c:pt idx="64">
                  <c:v>3.703700106166909</c:v>
                </c:pt>
                <c:pt idx="65">
                  <c:v>1.3574625877024351</c:v>
                </c:pt>
                <c:pt idx="66">
                  <c:v>1.35134786824586</c:v>
                </c:pt>
                <c:pt idx="67">
                  <c:v>1.35134786824586</c:v>
                </c:pt>
                <c:pt idx="68">
                  <c:v>1.8181800842285161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0.45454718849875708</c:v>
                </c:pt>
                <c:pt idx="75">
                  <c:v>-0.45249040607969521</c:v>
                </c:pt>
                <c:pt idx="76">
                  <c:v>0.45662275439088651</c:v>
                </c:pt>
                <c:pt idx="77">
                  <c:v>0</c:v>
                </c:pt>
                <c:pt idx="78">
                  <c:v>0</c:v>
                </c:pt>
                <c:pt idx="79">
                  <c:v>0.92165367999613257</c:v>
                </c:pt>
                <c:pt idx="80">
                  <c:v>0.92165367999613257</c:v>
                </c:pt>
                <c:pt idx="81">
                  <c:v>0</c:v>
                </c:pt>
                <c:pt idx="82">
                  <c:v>0</c:v>
                </c:pt>
                <c:pt idx="83">
                  <c:v>-0.90909437699751416</c:v>
                </c:pt>
                <c:pt idx="84">
                  <c:v>-0.91742597518451852</c:v>
                </c:pt>
                <c:pt idx="85">
                  <c:v>-0.91742597518451852</c:v>
                </c:pt>
                <c:pt idx="86">
                  <c:v>-0.91742597518451852</c:v>
                </c:pt>
                <c:pt idx="87">
                  <c:v>0</c:v>
                </c:pt>
                <c:pt idx="88">
                  <c:v>0</c:v>
                </c:pt>
                <c:pt idx="89">
                  <c:v>-0.46083123481042981</c:v>
                </c:pt>
                <c:pt idx="90">
                  <c:v>-0.46083123481042981</c:v>
                </c:pt>
                <c:pt idx="91">
                  <c:v>1.3953452886537061</c:v>
                </c:pt>
                <c:pt idx="92">
                  <c:v>1.8604633420012719</c:v>
                </c:pt>
                <c:pt idx="93">
                  <c:v>1.8604633420012719</c:v>
                </c:pt>
                <c:pt idx="94">
                  <c:v>1.388885332233194</c:v>
                </c:pt>
                <c:pt idx="95">
                  <c:v>0</c:v>
                </c:pt>
                <c:pt idx="96">
                  <c:v>-0.45662275439088651</c:v>
                </c:pt>
                <c:pt idx="97">
                  <c:v>0.45871736224523979</c:v>
                </c:pt>
                <c:pt idx="98">
                  <c:v>0.91324550878177302</c:v>
                </c:pt>
                <c:pt idx="99">
                  <c:v>0.91324550878177302</c:v>
                </c:pt>
                <c:pt idx="100">
                  <c:v>0.91324550878177302</c:v>
                </c:pt>
                <c:pt idx="101">
                  <c:v>0.45454718849875708</c:v>
                </c:pt>
                <c:pt idx="102">
                  <c:v>0.45454718849875708</c:v>
                </c:pt>
                <c:pt idx="103">
                  <c:v>-0.45454718849875708</c:v>
                </c:pt>
                <c:pt idx="104">
                  <c:v>-0.45249040607969521</c:v>
                </c:pt>
                <c:pt idx="105">
                  <c:v>-0.90498081215939041</c:v>
                </c:pt>
                <c:pt idx="106">
                  <c:v>5.0000017339533027</c:v>
                </c:pt>
                <c:pt idx="107">
                  <c:v>5.0000017339533027</c:v>
                </c:pt>
                <c:pt idx="108">
                  <c:v>2.643164995397997</c:v>
                </c:pt>
                <c:pt idx="109">
                  <c:v>2.643164995397997</c:v>
                </c:pt>
                <c:pt idx="110">
                  <c:v>2.654868899744272</c:v>
                </c:pt>
                <c:pt idx="111">
                  <c:v>2.654868899744272</c:v>
                </c:pt>
                <c:pt idx="112">
                  <c:v>2.2123893431876298</c:v>
                </c:pt>
                <c:pt idx="113">
                  <c:v>2.2123893431876298</c:v>
                </c:pt>
                <c:pt idx="114">
                  <c:v>1.7621127977375319</c:v>
                </c:pt>
                <c:pt idx="115">
                  <c:v>0.43290207713565448</c:v>
                </c:pt>
                <c:pt idx="116">
                  <c:v>0.43290207713565448</c:v>
                </c:pt>
                <c:pt idx="117">
                  <c:v>0.43290207713565448</c:v>
                </c:pt>
                <c:pt idx="118">
                  <c:v>0.43290207713565448</c:v>
                </c:pt>
                <c:pt idx="119">
                  <c:v>0.43102789151987891</c:v>
                </c:pt>
                <c:pt idx="120">
                  <c:v>-1.694913610443606</c:v>
                </c:pt>
                <c:pt idx="121">
                  <c:v>-1.694913610443606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1.7467232541200599</c:v>
                </c:pt>
                <c:pt idx="127">
                  <c:v>0.43478426725968072</c:v>
                </c:pt>
                <c:pt idx="128">
                  <c:v>0.86956853451936145</c:v>
                </c:pt>
                <c:pt idx="129">
                  <c:v>0.86956853451936145</c:v>
                </c:pt>
                <c:pt idx="130">
                  <c:v>0</c:v>
                </c:pt>
                <c:pt idx="131">
                  <c:v>0</c:v>
                </c:pt>
                <c:pt idx="132">
                  <c:v>2.16450212875792</c:v>
                </c:pt>
                <c:pt idx="133">
                  <c:v>2.16450212875792</c:v>
                </c:pt>
                <c:pt idx="134">
                  <c:v>-0.42735206452968078</c:v>
                </c:pt>
                <c:pt idx="135">
                  <c:v>-0.42735206452968078</c:v>
                </c:pt>
                <c:pt idx="136">
                  <c:v>-2.118644033550908</c:v>
                </c:pt>
                <c:pt idx="137">
                  <c:v>1.2986979744866121</c:v>
                </c:pt>
                <c:pt idx="138">
                  <c:v>0</c:v>
                </c:pt>
                <c:pt idx="139">
                  <c:v>0</c:v>
                </c:pt>
                <c:pt idx="140">
                  <c:v>2.5641042361154192</c:v>
                </c:pt>
                <c:pt idx="141">
                  <c:v>2.5641042361154192</c:v>
                </c:pt>
                <c:pt idx="142">
                  <c:v>2.54237445665821</c:v>
                </c:pt>
                <c:pt idx="143">
                  <c:v>2.531639049815277</c:v>
                </c:pt>
                <c:pt idx="144">
                  <c:v>2.531639049815277</c:v>
                </c:pt>
                <c:pt idx="151">
                  <c:v>-1.239674111368664</c:v>
                </c:pt>
                <c:pt idx="152">
                  <c:v>-0.82987867126023751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C-4254-B8DA-4A48EE4D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781695"/>
        <c:axId val="595780863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events!$B$249:$B$401</c:f>
              <c:strCache>
                <c:ptCount val="153"/>
                <c:pt idx="0">
                  <c:v>2025-08-25 10:00</c:v>
                </c:pt>
                <c:pt idx="1">
                  <c:v>2025-08-25 10:05</c:v>
                </c:pt>
                <c:pt idx="2">
                  <c:v>2025-08-25 10:05</c:v>
                </c:pt>
                <c:pt idx="3">
                  <c:v>2025-08-25 11:05</c:v>
                </c:pt>
                <c:pt idx="4">
                  <c:v>2025-08-25 11:05</c:v>
                </c:pt>
                <c:pt idx="5">
                  <c:v>2025-08-25 14:10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10:55</c:v>
                </c:pt>
                <c:pt idx="10">
                  <c:v>2025-08-26 11:20</c:v>
                </c:pt>
                <c:pt idx="11">
                  <c:v>2025-08-26 11:30</c:v>
                </c:pt>
                <c:pt idx="12">
                  <c:v>2025-08-26 11:35</c:v>
                </c:pt>
                <c:pt idx="13">
                  <c:v>2025-08-26 14:05</c:v>
                </c:pt>
                <c:pt idx="14">
                  <c:v>2025-08-26 14:05</c:v>
                </c:pt>
                <c:pt idx="15">
                  <c:v>2025-08-26 15:55</c:v>
                </c:pt>
                <c:pt idx="16">
                  <c:v>2025-08-26 15:55</c:v>
                </c:pt>
                <c:pt idx="17">
                  <c:v>2025-08-26 15:55</c:v>
                </c:pt>
                <c:pt idx="18">
                  <c:v>2025-08-27 10:35</c:v>
                </c:pt>
                <c:pt idx="19">
                  <c:v>2025-08-27 10:45</c:v>
                </c:pt>
                <c:pt idx="20">
                  <c:v>2025-08-27 10:45</c:v>
                </c:pt>
                <c:pt idx="21">
                  <c:v>2025-08-27 10:50</c:v>
                </c:pt>
                <c:pt idx="22">
                  <c:v>2025-08-27 10:50</c:v>
                </c:pt>
                <c:pt idx="23">
                  <c:v>2025-08-27 14:15</c:v>
                </c:pt>
                <c:pt idx="24">
                  <c:v>2025-08-27 15:00</c:v>
                </c:pt>
                <c:pt idx="25">
                  <c:v>2025-08-27 15:20</c:v>
                </c:pt>
                <c:pt idx="26">
                  <c:v>2025-08-27 15:55</c:v>
                </c:pt>
                <c:pt idx="27">
                  <c:v>2025-08-27 16:05</c:v>
                </c:pt>
                <c:pt idx="28">
                  <c:v>2025-08-28 10:00</c:v>
                </c:pt>
                <c:pt idx="29">
                  <c:v>2025-08-28 12:20</c:v>
                </c:pt>
                <c:pt idx="30">
                  <c:v>2025-08-28 12:25</c:v>
                </c:pt>
                <c:pt idx="31">
                  <c:v>2025-08-28 12:25</c:v>
                </c:pt>
                <c:pt idx="32">
                  <c:v>2025-08-28 13:55</c:v>
                </c:pt>
                <c:pt idx="33">
                  <c:v>2025-08-28 14:00</c:v>
                </c:pt>
                <c:pt idx="34">
                  <c:v>2025-08-28 14:00</c:v>
                </c:pt>
                <c:pt idx="35">
                  <c:v>2025-08-28 14:15</c:v>
                </c:pt>
                <c:pt idx="36">
                  <c:v>2025-08-28 15:40</c:v>
                </c:pt>
                <c:pt idx="37">
                  <c:v>2025-08-28 15:40</c:v>
                </c:pt>
                <c:pt idx="38">
                  <c:v>2025-08-28 15:40</c:v>
                </c:pt>
                <c:pt idx="39">
                  <c:v>2025-08-28 16:15</c:v>
                </c:pt>
                <c:pt idx="40">
                  <c:v>2025-08-29 10:00</c:v>
                </c:pt>
                <c:pt idx="41">
                  <c:v>2025-08-29 10:05</c:v>
                </c:pt>
                <c:pt idx="42">
                  <c:v>2025-08-29 10:05</c:v>
                </c:pt>
                <c:pt idx="43">
                  <c:v>2025-08-29 12:10</c:v>
                </c:pt>
                <c:pt idx="44">
                  <c:v>2025-08-29 12:10</c:v>
                </c:pt>
                <c:pt idx="45">
                  <c:v>2025-08-29 14:10</c:v>
                </c:pt>
                <c:pt idx="46">
                  <c:v>2025-08-29 14:10</c:v>
                </c:pt>
                <c:pt idx="47">
                  <c:v>2025-08-29 14:45</c:v>
                </c:pt>
                <c:pt idx="48">
                  <c:v>2025-08-29 15:00</c:v>
                </c:pt>
                <c:pt idx="49">
                  <c:v>2025-08-29 15:05</c:v>
                </c:pt>
                <c:pt idx="50">
                  <c:v>2025-08-29 15:20</c:v>
                </c:pt>
                <c:pt idx="51">
                  <c:v>2025-08-29 15:20</c:v>
                </c:pt>
                <c:pt idx="52">
                  <c:v>2025-08-29 15:25</c:v>
                </c:pt>
                <c:pt idx="53">
                  <c:v>2025-08-29 15:45</c:v>
                </c:pt>
                <c:pt idx="54">
                  <c:v>2025-09-01 10:05</c:v>
                </c:pt>
                <c:pt idx="55">
                  <c:v>2025-09-01 14:00</c:v>
                </c:pt>
                <c:pt idx="56">
                  <c:v>2025-09-01 14:00</c:v>
                </c:pt>
                <c:pt idx="57">
                  <c:v>2025-09-01 14:10</c:v>
                </c:pt>
                <c:pt idx="58">
                  <c:v>2025-09-01 14:10</c:v>
                </c:pt>
                <c:pt idx="59">
                  <c:v>2025-09-01 14:15</c:v>
                </c:pt>
                <c:pt idx="60">
                  <c:v>2025-09-01 14:20</c:v>
                </c:pt>
                <c:pt idx="61">
                  <c:v>2025-09-01 14:40</c:v>
                </c:pt>
                <c:pt idx="62">
                  <c:v>2025-09-01 15:10</c:v>
                </c:pt>
                <c:pt idx="63">
                  <c:v>2025-09-01 16:25</c:v>
                </c:pt>
                <c:pt idx="64">
                  <c:v>2025-09-01 16:25</c:v>
                </c:pt>
                <c:pt idx="65">
                  <c:v>2025-09-02 10:00</c:v>
                </c:pt>
                <c:pt idx="66">
                  <c:v>2025-09-02 10:15</c:v>
                </c:pt>
                <c:pt idx="67">
                  <c:v>2025-09-02 10:15</c:v>
                </c:pt>
                <c:pt idx="68">
                  <c:v>2025-09-02 10:20</c:v>
                </c:pt>
                <c:pt idx="69">
                  <c:v>2025-09-02 10:50</c:v>
                </c:pt>
                <c:pt idx="70">
                  <c:v>2025-09-02 10:50</c:v>
                </c:pt>
                <c:pt idx="71">
                  <c:v>2025-09-02 11:50</c:v>
                </c:pt>
                <c:pt idx="72">
                  <c:v>2025-09-02 14:35</c:v>
                </c:pt>
                <c:pt idx="73">
                  <c:v>2025-09-02 14:35</c:v>
                </c:pt>
                <c:pt idx="74">
                  <c:v>2025-09-02 15:35</c:v>
                </c:pt>
                <c:pt idx="75">
                  <c:v>2025-09-03 10:00</c:v>
                </c:pt>
                <c:pt idx="76">
                  <c:v>2025-09-03 10:35</c:v>
                </c:pt>
                <c:pt idx="77">
                  <c:v>2025-09-03 12:25</c:v>
                </c:pt>
                <c:pt idx="78">
                  <c:v>2025-09-03 12:25</c:v>
                </c:pt>
                <c:pt idx="79">
                  <c:v>2025-09-03 15:10</c:v>
                </c:pt>
                <c:pt idx="80">
                  <c:v>2025-09-03 15:10</c:v>
                </c:pt>
                <c:pt idx="81">
                  <c:v>2025-09-03 15:25</c:v>
                </c:pt>
                <c:pt idx="82">
                  <c:v>2025-09-03 15:25</c:v>
                </c:pt>
                <c:pt idx="83">
                  <c:v>2025-09-04 10:00</c:v>
                </c:pt>
                <c:pt idx="84">
                  <c:v>2025-09-04 13:55</c:v>
                </c:pt>
                <c:pt idx="85">
                  <c:v>2025-09-04 13:55</c:v>
                </c:pt>
                <c:pt idx="86">
                  <c:v>2025-09-04 13:55</c:v>
                </c:pt>
                <c:pt idx="87">
                  <c:v>2025-09-04 14:00</c:v>
                </c:pt>
                <c:pt idx="88">
                  <c:v>2025-09-04 14:00</c:v>
                </c:pt>
                <c:pt idx="89">
                  <c:v>2025-09-04 14:05</c:v>
                </c:pt>
                <c:pt idx="90">
                  <c:v>2025-09-04 14:05</c:v>
                </c:pt>
                <c:pt idx="91">
                  <c:v>2025-09-04 16:05</c:v>
                </c:pt>
                <c:pt idx="92">
                  <c:v>2025-09-04 16:20</c:v>
                </c:pt>
                <c:pt idx="93">
                  <c:v>2025-09-04 16:20</c:v>
                </c:pt>
                <c:pt idx="94">
                  <c:v>2025-09-05 10:05</c:v>
                </c:pt>
                <c:pt idx="95">
                  <c:v>2025-09-05 10:45</c:v>
                </c:pt>
                <c:pt idx="96">
                  <c:v>2025-09-05 10:50</c:v>
                </c:pt>
                <c:pt idx="97">
                  <c:v>2025-09-05 11:40</c:v>
                </c:pt>
                <c:pt idx="98">
                  <c:v>2025-09-05 14:10</c:v>
                </c:pt>
                <c:pt idx="99">
                  <c:v>2025-09-05 14:10</c:v>
                </c:pt>
                <c:pt idx="100">
                  <c:v>2025-09-05 14:10</c:v>
                </c:pt>
                <c:pt idx="101">
                  <c:v>2025-09-05 14:25</c:v>
                </c:pt>
                <c:pt idx="102">
                  <c:v>2025-09-05 14:25</c:v>
                </c:pt>
                <c:pt idx="103">
                  <c:v>2025-09-05 14:40</c:v>
                </c:pt>
                <c:pt idx="104">
                  <c:v>2025-09-05 14:45</c:v>
                </c:pt>
                <c:pt idx="105">
                  <c:v>2025-09-05 15:05</c:v>
                </c:pt>
                <c:pt idx="106">
                  <c:v>2025-09-05 16:25</c:v>
                </c:pt>
                <c:pt idx="107">
                  <c:v>2025-09-05 16:25</c:v>
                </c:pt>
                <c:pt idx="108">
                  <c:v>2025-09-08 10:00</c:v>
                </c:pt>
                <c:pt idx="109">
                  <c:v>2025-09-08 10:00</c:v>
                </c:pt>
                <c:pt idx="110">
                  <c:v>2025-09-08 10:10</c:v>
                </c:pt>
                <c:pt idx="111">
                  <c:v>2025-09-08 10:10</c:v>
                </c:pt>
                <c:pt idx="112">
                  <c:v>2025-09-08 10:15</c:v>
                </c:pt>
                <c:pt idx="113">
                  <c:v>2025-09-08 10:15</c:v>
                </c:pt>
                <c:pt idx="114">
                  <c:v>2025-09-08 10:20</c:v>
                </c:pt>
                <c:pt idx="115">
                  <c:v>2025-09-08 10:35</c:v>
                </c:pt>
                <c:pt idx="116">
                  <c:v>2025-09-08 10:35</c:v>
                </c:pt>
                <c:pt idx="117">
                  <c:v>2025-09-08 10:40</c:v>
                </c:pt>
                <c:pt idx="118">
                  <c:v>2025-09-08 10:40</c:v>
                </c:pt>
                <c:pt idx="119">
                  <c:v>2025-09-08 12:25</c:v>
                </c:pt>
                <c:pt idx="120">
                  <c:v>2025-09-08 14:00</c:v>
                </c:pt>
                <c:pt idx="121">
                  <c:v>2025-09-08 14:00</c:v>
                </c:pt>
                <c:pt idx="122">
                  <c:v>2025-09-08 15:55</c:v>
                </c:pt>
                <c:pt idx="123">
                  <c:v>2025-09-09 10:05</c:v>
                </c:pt>
                <c:pt idx="124">
                  <c:v>2025-09-09 10:45</c:v>
                </c:pt>
                <c:pt idx="125">
                  <c:v>2025-09-09 11:30</c:v>
                </c:pt>
                <c:pt idx="126">
                  <c:v>2025-09-09 12:15</c:v>
                </c:pt>
                <c:pt idx="127">
                  <c:v>2025-09-09 12:25</c:v>
                </c:pt>
                <c:pt idx="128">
                  <c:v>2025-09-09 13:55</c:v>
                </c:pt>
                <c:pt idx="129">
                  <c:v>2025-09-09 13:55</c:v>
                </c:pt>
                <c:pt idx="130">
                  <c:v>2025-09-09 14:35</c:v>
                </c:pt>
                <c:pt idx="131">
                  <c:v>2025-09-09 14:35</c:v>
                </c:pt>
                <c:pt idx="132">
                  <c:v>2025-09-09 15:45</c:v>
                </c:pt>
                <c:pt idx="133">
                  <c:v>2025-09-09 15:45</c:v>
                </c:pt>
                <c:pt idx="134">
                  <c:v>2025-09-10 10:00</c:v>
                </c:pt>
                <c:pt idx="135">
                  <c:v>2025-09-10 10:00</c:v>
                </c:pt>
                <c:pt idx="136">
                  <c:v>2025-09-10 10:15</c:v>
                </c:pt>
                <c:pt idx="137">
                  <c:v>2025-09-10 11:15</c:v>
                </c:pt>
                <c:pt idx="138">
                  <c:v>2025-09-10 13:55</c:v>
                </c:pt>
                <c:pt idx="139">
                  <c:v>2025-09-10 13:55</c:v>
                </c:pt>
                <c:pt idx="140">
                  <c:v>2025-09-10 14:45</c:v>
                </c:pt>
                <c:pt idx="141">
                  <c:v>2025-09-10 14:45</c:v>
                </c:pt>
                <c:pt idx="142">
                  <c:v>2025-09-10 15:10</c:v>
                </c:pt>
                <c:pt idx="143">
                  <c:v>2025-09-10 15:25</c:v>
                </c:pt>
                <c:pt idx="144">
                  <c:v>2025-09-10 15:25</c:v>
                </c:pt>
                <c:pt idx="145">
                  <c:v>2025-09-10 15:30</c:v>
                </c:pt>
                <c:pt idx="146">
                  <c:v>2025-09-10 15:30</c:v>
                </c:pt>
                <c:pt idx="147">
                  <c:v>2025-09-10 15:35</c:v>
                </c:pt>
                <c:pt idx="148">
                  <c:v>2025-09-10 15:35</c:v>
                </c:pt>
                <c:pt idx="149">
                  <c:v>2025-09-10 15:55</c:v>
                </c:pt>
                <c:pt idx="150">
                  <c:v>2025-09-10 15:55</c:v>
                </c:pt>
                <c:pt idx="151">
                  <c:v>2025-09-10 16:00</c:v>
                </c:pt>
                <c:pt idx="152">
                  <c:v>2025-09-11 10:00</c:v>
                </c:pt>
              </c:strCache>
            </c:strRef>
          </c:xVal>
          <c:yVal>
            <c:numRef>
              <c:f>events!$F$249:$F$401</c:f>
              <c:numCache>
                <c:formatCode>General</c:formatCode>
                <c:ptCount val="153"/>
                <c:pt idx="5">
                  <c:v>23.3</c:v>
                </c:pt>
                <c:pt idx="17">
                  <c:v>23.5</c:v>
                </c:pt>
                <c:pt idx="27">
                  <c:v>22.2</c:v>
                </c:pt>
                <c:pt idx="39">
                  <c:v>21.9</c:v>
                </c:pt>
                <c:pt idx="53">
                  <c:v>21.7</c:v>
                </c:pt>
                <c:pt idx="64">
                  <c:v>21.8</c:v>
                </c:pt>
                <c:pt idx="74">
                  <c:v>21.9</c:v>
                </c:pt>
                <c:pt idx="82">
                  <c:v>21.8</c:v>
                </c:pt>
                <c:pt idx="93">
                  <c:v>21.5</c:v>
                </c:pt>
                <c:pt idx="107">
                  <c:v>22.1</c:v>
                </c:pt>
                <c:pt idx="122">
                  <c:v>23.3</c:v>
                </c:pt>
                <c:pt idx="133">
                  <c:v>23.2</c:v>
                </c:pt>
                <c:pt idx="151">
                  <c:v>24.1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C-4254-B8DA-4A48EE4D5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578991"/>
        <c:axId val="682579823"/>
      </c:scatterChart>
      <c:catAx>
        <c:axId val="6825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2579823"/>
        <c:crosses val="autoZero"/>
        <c:auto val="1"/>
        <c:lblAlgn val="ctr"/>
        <c:lblOffset val="100"/>
        <c:noMultiLvlLbl val="0"/>
      </c:catAx>
      <c:valAx>
        <c:axId val="68257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2578991"/>
        <c:crosses val="autoZero"/>
        <c:crossBetween val="between"/>
      </c:valAx>
      <c:valAx>
        <c:axId val="5957808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95781695"/>
        <c:crosses val="max"/>
        <c:crossBetween val="between"/>
      </c:valAx>
      <c:catAx>
        <c:axId val="595781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5780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19</xdr:col>
      <xdr:colOff>19050</xdr:colOff>
      <xdr:row>37</xdr:row>
      <xdr:rowOff>61383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E6C72A-EF88-409F-8520-9BBD5936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1"/>
  <sheetViews>
    <sheetView zoomScale="90" zoomScaleNormal="90" workbookViewId="0">
      <pane ySplit="1" topLeftCell="A236" activePane="bottomLeft" state="frozen"/>
      <selection pane="bottomLeft" activeCell="M401" activeCellId="2" sqref="B249:B401 E249:F401 M249:M401"/>
    </sheetView>
  </sheetViews>
  <sheetFormatPr defaultRowHeight="14.25" x14ac:dyDescent="0.2"/>
  <cols>
    <col min="1" max="1" width="12.375" customWidth="1"/>
    <col min="2" max="2" width="18.25" customWidth="1"/>
    <col min="3" max="3" width="10.375" customWidth="1"/>
    <col min="4" max="4" width="26.875" customWidth="1"/>
    <col min="5" max="5" width="8" customWidth="1"/>
    <col min="6" max="6" width="7.125" customWidth="1"/>
    <col min="7" max="8" width="7.25" style="18" customWidth="1"/>
    <col min="9" max="9" width="10.75" customWidth="1"/>
    <col min="10" max="10" width="40" customWidth="1"/>
    <col min="11" max="13" width="16.125" customWidth="1"/>
    <col min="14" max="15" width="7.5" hidden="1" customWidth="1"/>
    <col min="16" max="18" width="16.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519</v>
      </c>
      <c r="H1" s="1" t="s">
        <v>520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6" x14ac:dyDescent="0.2">
      <c r="A2" t="s">
        <v>10</v>
      </c>
      <c r="B2" t="s">
        <v>11</v>
      </c>
      <c r="C2" t="s">
        <v>12</v>
      </c>
      <c r="D2" t="s">
        <v>13</v>
      </c>
      <c r="E2" s="5">
        <v>21.20000076293945</v>
      </c>
      <c r="G2" s="23"/>
      <c r="I2" s="3">
        <v>592585</v>
      </c>
      <c r="J2" t="s">
        <v>14</v>
      </c>
      <c r="K2">
        <v>0</v>
      </c>
      <c r="L2">
        <v>0</v>
      </c>
      <c r="M2">
        <v>0.47169089869046121</v>
      </c>
    </row>
    <row r="3" spans="1:16" x14ac:dyDescent="0.2">
      <c r="A3" t="s">
        <v>10</v>
      </c>
      <c r="B3" t="s">
        <v>11</v>
      </c>
      <c r="C3" t="s">
        <v>12</v>
      </c>
      <c r="D3" t="s">
        <v>15</v>
      </c>
      <c r="E3" s="5">
        <v>21.20000076293945</v>
      </c>
      <c r="G3" s="23"/>
      <c r="I3" s="3">
        <v>592585</v>
      </c>
      <c r="J3" t="s">
        <v>16</v>
      </c>
      <c r="K3">
        <v>0</v>
      </c>
      <c r="L3">
        <v>0</v>
      </c>
      <c r="M3">
        <v>0.47169089869046121</v>
      </c>
    </row>
    <row r="4" spans="1:16" x14ac:dyDescent="0.2">
      <c r="A4" t="s">
        <v>10</v>
      </c>
      <c r="B4" t="s">
        <v>17</v>
      </c>
      <c r="C4" t="s">
        <v>12</v>
      </c>
      <c r="D4" t="s">
        <v>13</v>
      </c>
      <c r="E4" s="5">
        <v>21.20000076293945</v>
      </c>
      <c r="G4" s="23"/>
      <c r="I4" s="3">
        <v>614801</v>
      </c>
      <c r="J4" t="s">
        <v>18</v>
      </c>
      <c r="K4">
        <v>0</v>
      </c>
      <c r="L4">
        <v>0</v>
      </c>
      <c r="M4">
        <v>-0.4716998956176508</v>
      </c>
    </row>
    <row r="5" spans="1:16" x14ac:dyDescent="0.2">
      <c r="A5" t="s">
        <v>10</v>
      </c>
      <c r="B5" t="s">
        <v>17</v>
      </c>
      <c r="C5" t="s">
        <v>12</v>
      </c>
      <c r="D5" t="s">
        <v>19</v>
      </c>
      <c r="E5" s="5">
        <v>21.20000076293945</v>
      </c>
      <c r="G5" s="23"/>
      <c r="I5" s="3">
        <v>614801</v>
      </c>
      <c r="J5" t="s">
        <v>20</v>
      </c>
      <c r="K5">
        <v>0</v>
      </c>
      <c r="L5">
        <v>0</v>
      </c>
      <c r="M5">
        <v>-0.4716998956176508</v>
      </c>
    </row>
    <row r="6" spans="1:16" x14ac:dyDescent="0.2">
      <c r="A6" t="s">
        <v>10</v>
      </c>
      <c r="B6" t="s">
        <v>21</v>
      </c>
      <c r="C6" t="s">
        <v>12</v>
      </c>
      <c r="D6" t="s">
        <v>15</v>
      </c>
      <c r="E6" s="5">
        <v>21.20000076293945</v>
      </c>
      <c r="G6" s="23"/>
      <c r="I6">
        <v>262901</v>
      </c>
      <c r="J6" t="s">
        <v>16</v>
      </c>
      <c r="K6">
        <v>0</v>
      </c>
      <c r="L6">
        <v>0</v>
      </c>
      <c r="M6">
        <v>-0.4716998956176508</v>
      </c>
    </row>
    <row r="7" spans="1:16" x14ac:dyDescent="0.2">
      <c r="A7" t="s">
        <v>10</v>
      </c>
      <c r="B7" t="s">
        <v>22</v>
      </c>
      <c r="C7" t="s">
        <v>12</v>
      </c>
      <c r="D7" t="s">
        <v>15</v>
      </c>
      <c r="E7" s="6">
        <v>21.10000038146973</v>
      </c>
      <c r="H7" s="19"/>
      <c r="I7">
        <v>400501</v>
      </c>
      <c r="J7" t="s">
        <v>23</v>
      </c>
      <c r="K7">
        <v>0</v>
      </c>
      <c r="L7">
        <v>0.94786185770148956</v>
      </c>
      <c r="M7">
        <v>1.895732754969796</v>
      </c>
    </row>
    <row r="8" spans="1:16" x14ac:dyDescent="0.2">
      <c r="A8" s="2" t="s">
        <v>10</v>
      </c>
      <c r="B8" s="2" t="s">
        <v>24</v>
      </c>
      <c r="C8" s="2" t="s">
        <v>12</v>
      </c>
      <c r="D8" s="2" t="s">
        <v>15</v>
      </c>
      <c r="E8" s="7">
        <v>21.10000038146973</v>
      </c>
      <c r="F8" s="2"/>
      <c r="G8" s="20"/>
      <c r="H8" s="21"/>
      <c r="I8" s="2">
        <v>462100</v>
      </c>
      <c r="J8" s="2" t="s">
        <v>25</v>
      </c>
      <c r="K8" s="2">
        <v>0.94786185770148956</v>
      </c>
      <c r="L8" s="2">
        <v>1.895732754969796</v>
      </c>
      <c r="M8" s="2">
        <v>1.895732754969796</v>
      </c>
    </row>
    <row r="9" spans="1:16" x14ac:dyDescent="0.2">
      <c r="A9" t="s">
        <v>26</v>
      </c>
      <c r="B9" t="s">
        <v>27</v>
      </c>
      <c r="C9" t="s">
        <v>12</v>
      </c>
      <c r="D9" t="s">
        <v>15</v>
      </c>
      <c r="E9" s="6">
        <v>21.29999923706055</v>
      </c>
      <c r="F9" s="9"/>
      <c r="H9" s="19">
        <f>E9-E8</f>
        <v>0.19999885559082031</v>
      </c>
      <c r="I9">
        <v>0</v>
      </c>
      <c r="J9" t="s">
        <v>28</v>
      </c>
      <c r="K9">
        <v>0.93897075165836363</v>
      </c>
      <c r="L9">
        <v>0.93897075165836363</v>
      </c>
      <c r="M9">
        <v>0.93897075165836363</v>
      </c>
    </row>
    <row r="10" spans="1:16" x14ac:dyDescent="0.2">
      <c r="A10" t="s">
        <v>26</v>
      </c>
      <c r="B10" t="s">
        <v>29</v>
      </c>
      <c r="C10" t="s">
        <v>12</v>
      </c>
      <c r="D10" t="s">
        <v>13</v>
      </c>
      <c r="E10">
        <v>21.5</v>
      </c>
      <c r="I10">
        <v>661700</v>
      </c>
      <c r="J10" t="s">
        <v>30</v>
      </c>
      <c r="K10">
        <v>0</v>
      </c>
      <c r="L10">
        <v>0</v>
      </c>
      <c r="M10">
        <v>0</v>
      </c>
    </row>
    <row r="11" spans="1:16" x14ac:dyDescent="0.2">
      <c r="A11" t="s">
        <v>26</v>
      </c>
      <c r="B11" t="s">
        <v>31</v>
      </c>
      <c r="C11" t="s">
        <v>12</v>
      </c>
      <c r="D11" t="s">
        <v>13</v>
      </c>
      <c r="E11">
        <v>21.60000038146973</v>
      </c>
      <c r="I11">
        <v>884600</v>
      </c>
      <c r="J11" t="s">
        <v>32</v>
      </c>
      <c r="K11">
        <v>-0.46296472085026058</v>
      </c>
      <c r="L11">
        <v>-0.46296472085026058</v>
      </c>
      <c r="M11">
        <v>-0.92592944170052127</v>
      </c>
    </row>
    <row r="12" spans="1:16" x14ac:dyDescent="0.2">
      <c r="A12" t="s">
        <v>26</v>
      </c>
      <c r="B12" t="s">
        <v>33</v>
      </c>
      <c r="C12" t="s">
        <v>12</v>
      </c>
      <c r="D12" t="s">
        <v>15</v>
      </c>
      <c r="E12">
        <v>21.60000038146973</v>
      </c>
      <c r="I12">
        <v>562800</v>
      </c>
      <c r="J12" t="s">
        <v>34</v>
      </c>
      <c r="K12">
        <v>0</v>
      </c>
      <c r="L12">
        <v>0</v>
      </c>
      <c r="M12">
        <v>0.46296472085026058</v>
      </c>
    </row>
    <row r="13" spans="1:16" x14ac:dyDescent="0.2">
      <c r="A13" t="s">
        <v>26</v>
      </c>
      <c r="B13" t="s">
        <v>35</v>
      </c>
      <c r="C13" t="s">
        <v>12</v>
      </c>
      <c r="D13" t="s">
        <v>13</v>
      </c>
      <c r="E13">
        <v>21.60000038146973</v>
      </c>
      <c r="I13" s="3">
        <v>759200</v>
      </c>
      <c r="J13" t="s">
        <v>36</v>
      </c>
      <c r="K13">
        <v>0</v>
      </c>
      <c r="L13">
        <v>0</v>
      </c>
      <c r="M13">
        <v>0.46296472085026058</v>
      </c>
    </row>
    <row r="14" spans="1:16" x14ac:dyDescent="0.2">
      <c r="A14" t="s">
        <v>26</v>
      </c>
      <c r="B14" t="s">
        <v>35</v>
      </c>
      <c r="C14" t="s">
        <v>12</v>
      </c>
      <c r="D14" t="s">
        <v>19</v>
      </c>
      <c r="E14">
        <v>21.60000038146973</v>
      </c>
      <c r="I14" s="3">
        <v>759200</v>
      </c>
      <c r="J14" t="s">
        <v>20</v>
      </c>
      <c r="K14">
        <v>0</v>
      </c>
      <c r="L14">
        <v>0</v>
      </c>
      <c r="M14">
        <v>0.46296472085026058</v>
      </c>
    </row>
    <row r="15" spans="1:16" x14ac:dyDescent="0.2">
      <c r="A15" t="s">
        <v>26</v>
      </c>
      <c r="B15" t="s">
        <v>37</v>
      </c>
      <c r="C15" t="s">
        <v>12</v>
      </c>
      <c r="D15" t="s">
        <v>13</v>
      </c>
      <c r="E15">
        <v>21.60000038146973</v>
      </c>
      <c r="G15" s="23"/>
      <c r="H15" s="19"/>
      <c r="I15" s="3">
        <v>567525</v>
      </c>
      <c r="J15" t="s">
        <v>38</v>
      </c>
      <c r="K15" s="9">
        <v>0.46296472085026058</v>
      </c>
      <c r="L15" s="9">
        <v>0.46296472085026058</v>
      </c>
      <c r="M15" s="8">
        <v>-0.46296472085026058</v>
      </c>
      <c r="P15" s="28" t="s">
        <v>540</v>
      </c>
    </row>
    <row r="16" spans="1:16" x14ac:dyDescent="0.2">
      <c r="A16" t="s">
        <v>26</v>
      </c>
      <c r="B16" t="s">
        <v>37</v>
      </c>
      <c r="C16" t="s">
        <v>12</v>
      </c>
      <c r="D16" t="s">
        <v>19</v>
      </c>
      <c r="E16">
        <v>21.60000038146973</v>
      </c>
      <c r="G16" s="23">
        <f>E16-E6</f>
        <v>0.39999961853028054</v>
      </c>
      <c r="H16" s="19">
        <f>E16-E9</f>
        <v>0.30000114440917969</v>
      </c>
      <c r="I16" s="3">
        <v>567525</v>
      </c>
      <c r="J16" t="s">
        <v>20</v>
      </c>
      <c r="K16" s="9">
        <v>0.46296472085026058</v>
      </c>
      <c r="L16" s="9">
        <v>0.46296472085026058</v>
      </c>
      <c r="M16" s="8">
        <v>-0.46296472085026058</v>
      </c>
      <c r="P16" s="28" t="s">
        <v>540</v>
      </c>
    </row>
    <row r="17" spans="1:16" x14ac:dyDescent="0.2">
      <c r="A17" t="s">
        <v>26</v>
      </c>
      <c r="B17" t="s">
        <v>39</v>
      </c>
      <c r="C17" t="s">
        <v>12</v>
      </c>
      <c r="D17" t="s">
        <v>13</v>
      </c>
      <c r="E17" s="5">
        <v>21.79999923706055</v>
      </c>
      <c r="F17" s="9"/>
      <c r="G17" s="23"/>
      <c r="I17" s="3">
        <v>1995129</v>
      </c>
      <c r="J17" t="s">
        <v>40</v>
      </c>
      <c r="K17">
        <v>-0.45870861293927861</v>
      </c>
      <c r="L17">
        <v>-0.45870861293927861</v>
      </c>
      <c r="M17">
        <v>-1.376143337429758</v>
      </c>
    </row>
    <row r="18" spans="1:16" x14ac:dyDescent="0.2">
      <c r="A18" t="s">
        <v>26</v>
      </c>
      <c r="B18" t="s">
        <v>39</v>
      </c>
      <c r="C18" t="s">
        <v>12</v>
      </c>
      <c r="D18" t="s">
        <v>15</v>
      </c>
      <c r="E18" s="5">
        <v>21.79999923706055</v>
      </c>
      <c r="F18" s="9"/>
      <c r="G18" s="23">
        <f>E18-E16</f>
        <v>0.19999885559082031</v>
      </c>
      <c r="I18" s="3">
        <v>1995129</v>
      </c>
      <c r="J18" t="s">
        <v>41</v>
      </c>
      <c r="K18">
        <v>-0.45870861293927861</v>
      </c>
      <c r="L18">
        <v>-0.45870861293927861</v>
      </c>
      <c r="M18">
        <v>-1.376143337429758</v>
      </c>
      <c r="N18" s="15">
        <f>E18-E8</f>
        <v>0.69999885559082031</v>
      </c>
    </row>
    <row r="19" spans="1:16" x14ac:dyDescent="0.2">
      <c r="A19" t="s">
        <v>26</v>
      </c>
      <c r="B19" t="s">
        <v>42</v>
      </c>
      <c r="C19" t="s">
        <v>12</v>
      </c>
      <c r="D19" t="s">
        <v>15</v>
      </c>
      <c r="E19">
        <v>21.60000038146973</v>
      </c>
      <c r="G19" s="24">
        <f>E19-E18</f>
        <v>-0.19999885559082031</v>
      </c>
      <c r="H19" s="19">
        <f>E19-E16</f>
        <v>0</v>
      </c>
      <c r="I19">
        <v>21500</v>
      </c>
      <c r="J19" t="s">
        <v>43</v>
      </c>
      <c r="K19">
        <v>0</v>
      </c>
      <c r="L19" s="8">
        <v>-0.46296472085026058</v>
      </c>
      <c r="M19" s="9">
        <v>0.46296472085026058</v>
      </c>
      <c r="P19" s="28" t="s">
        <v>539</v>
      </c>
    </row>
    <row r="20" spans="1:16" x14ac:dyDescent="0.2">
      <c r="A20" t="s">
        <v>26</v>
      </c>
      <c r="B20" t="s">
        <v>44</v>
      </c>
      <c r="C20" t="s">
        <v>12</v>
      </c>
      <c r="D20" t="s">
        <v>15</v>
      </c>
      <c r="E20">
        <v>21.5</v>
      </c>
      <c r="I20">
        <v>20500</v>
      </c>
      <c r="J20" t="s">
        <v>43</v>
      </c>
      <c r="K20">
        <v>0.93023610669513079</v>
      </c>
      <c r="L20">
        <v>0</v>
      </c>
      <c r="M20">
        <v>0.4651180533475654</v>
      </c>
    </row>
    <row r="21" spans="1:16" x14ac:dyDescent="0.2">
      <c r="A21" t="s">
        <v>26</v>
      </c>
      <c r="B21" t="s">
        <v>45</v>
      </c>
      <c r="C21" t="s">
        <v>12</v>
      </c>
      <c r="D21" t="s">
        <v>13</v>
      </c>
      <c r="E21">
        <v>21.70000076293945</v>
      </c>
      <c r="I21">
        <v>1241100</v>
      </c>
      <c r="J21" t="s">
        <v>46</v>
      </c>
      <c r="K21">
        <v>-0.92166246962085951</v>
      </c>
      <c r="L21">
        <v>-0.92166246962085951</v>
      </c>
      <c r="M21">
        <v>-0.92166246962085951</v>
      </c>
    </row>
    <row r="22" spans="1:16" x14ac:dyDescent="0.2">
      <c r="A22" t="s">
        <v>26</v>
      </c>
      <c r="B22" t="s">
        <v>47</v>
      </c>
      <c r="C22" t="s">
        <v>12</v>
      </c>
      <c r="D22" t="s">
        <v>13</v>
      </c>
      <c r="E22">
        <v>21.5</v>
      </c>
      <c r="I22" s="3">
        <v>592300</v>
      </c>
      <c r="J22" t="s">
        <v>48</v>
      </c>
      <c r="K22">
        <v>0.4651180533475654</v>
      </c>
      <c r="L22">
        <v>0.93023610669513079</v>
      </c>
      <c r="M22">
        <v>0</v>
      </c>
    </row>
    <row r="23" spans="1:16" x14ac:dyDescent="0.2">
      <c r="A23" s="2" t="s">
        <v>26</v>
      </c>
      <c r="B23" s="2" t="s">
        <v>47</v>
      </c>
      <c r="C23" s="2" t="s">
        <v>12</v>
      </c>
      <c r="D23" s="2" t="s">
        <v>15</v>
      </c>
      <c r="E23" s="2">
        <v>21.5</v>
      </c>
      <c r="F23" s="2"/>
      <c r="G23" s="20"/>
      <c r="H23" s="20"/>
      <c r="I23" s="4">
        <v>592300</v>
      </c>
      <c r="J23" s="2" t="s">
        <v>49</v>
      </c>
      <c r="K23" s="2">
        <v>0.4651180533475654</v>
      </c>
      <c r="L23" s="2">
        <v>0.93023610669513079</v>
      </c>
      <c r="M23" s="2">
        <v>0</v>
      </c>
    </row>
    <row r="24" spans="1:16" ht="15" thickBot="1" x14ac:dyDescent="0.25">
      <c r="A24" t="s">
        <v>50</v>
      </c>
      <c r="B24" t="s">
        <v>51</v>
      </c>
      <c r="C24" t="s">
        <v>12</v>
      </c>
      <c r="D24" t="s">
        <v>13</v>
      </c>
      <c r="E24" s="5">
        <v>21.70000076293945</v>
      </c>
      <c r="F24" s="8"/>
      <c r="G24" s="23"/>
      <c r="I24" s="3">
        <v>1414821</v>
      </c>
      <c r="J24" t="s">
        <v>52</v>
      </c>
      <c r="K24">
        <v>-0.46083123481042981</v>
      </c>
      <c r="L24">
        <v>-0.92166246962085951</v>
      </c>
      <c r="M24">
        <v>-1.382493704431289</v>
      </c>
    </row>
    <row r="25" spans="1:16" ht="15.75" thickTop="1" thickBot="1" x14ac:dyDescent="0.25">
      <c r="A25" t="s">
        <v>50</v>
      </c>
      <c r="B25" t="s">
        <v>51</v>
      </c>
      <c r="C25" t="s">
        <v>12</v>
      </c>
      <c r="D25" t="s">
        <v>15</v>
      </c>
      <c r="E25" s="5">
        <v>21.70000076293945</v>
      </c>
      <c r="F25" s="8"/>
      <c r="G25" s="23">
        <f>E25-E19</f>
        <v>0.10000038146971946</v>
      </c>
      <c r="I25" s="3">
        <v>1414821</v>
      </c>
      <c r="J25" t="s">
        <v>23</v>
      </c>
      <c r="K25">
        <v>-0.46083123481042981</v>
      </c>
      <c r="L25">
        <v>-0.92166246962085951</v>
      </c>
      <c r="M25">
        <v>-1.382493704431289</v>
      </c>
      <c r="N25" s="16">
        <f>E25-E18</f>
        <v>-9.9998474121100855E-2</v>
      </c>
    </row>
    <row r="26" spans="1:16" ht="15" thickTop="1" x14ac:dyDescent="0.2">
      <c r="A26" t="s">
        <v>50</v>
      </c>
      <c r="B26" t="s">
        <v>53</v>
      </c>
      <c r="C26" t="s">
        <v>12</v>
      </c>
      <c r="D26" t="s">
        <v>13</v>
      </c>
      <c r="E26">
        <v>21.20000076293945</v>
      </c>
      <c r="I26">
        <v>1057600</v>
      </c>
      <c r="J26" t="s">
        <v>54</v>
      </c>
      <c r="K26">
        <v>0</v>
      </c>
      <c r="L26">
        <v>0</v>
      </c>
      <c r="M26">
        <v>0.47169089869046121</v>
      </c>
    </row>
    <row r="27" spans="1:16" x14ac:dyDescent="0.2">
      <c r="A27" t="s">
        <v>50</v>
      </c>
      <c r="B27" t="s">
        <v>55</v>
      </c>
      <c r="C27" t="s">
        <v>12</v>
      </c>
      <c r="D27" t="s">
        <v>13</v>
      </c>
      <c r="E27" s="6">
        <v>21.10000038146973</v>
      </c>
      <c r="F27" s="8"/>
      <c r="H27" s="22"/>
      <c r="I27" s="3">
        <v>725500</v>
      </c>
      <c r="J27" t="s">
        <v>56</v>
      </c>
      <c r="K27">
        <v>0.47393544863415299</v>
      </c>
      <c r="L27">
        <v>0.47393544863415299</v>
      </c>
      <c r="M27">
        <v>0.94786185770148956</v>
      </c>
    </row>
    <row r="28" spans="1:16" x14ac:dyDescent="0.2">
      <c r="A28" t="s">
        <v>50</v>
      </c>
      <c r="B28" t="s">
        <v>55</v>
      </c>
      <c r="C28" t="s">
        <v>12</v>
      </c>
      <c r="D28" t="s">
        <v>19</v>
      </c>
      <c r="E28" s="6">
        <v>21.10000038146973</v>
      </c>
      <c r="F28" s="8"/>
      <c r="H28" s="22">
        <f>E28-E19</f>
        <v>-0.5</v>
      </c>
      <c r="I28" s="3">
        <v>725500</v>
      </c>
      <c r="J28" t="s">
        <v>20</v>
      </c>
      <c r="K28">
        <v>0.47393544863415299</v>
      </c>
      <c r="L28">
        <v>0.47393544863415299</v>
      </c>
      <c r="M28">
        <v>0.94786185770148956</v>
      </c>
    </row>
    <row r="29" spans="1:16" x14ac:dyDescent="0.2">
      <c r="A29" t="s">
        <v>50</v>
      </c>
      <c r="B29" t="s">
        <v>57</v>
      </c>
      <c r="C29" t="s">
        <v>12</v>
      </c>
      <c r="D29" s="3" t="s">
        <v>13</v>
      </c>
      <c r="E29">
        <v>21.29999923706055</v>
      </c>
      <c r="I29" s="3">
        <v>1145305</v>
      </c>
      <c r="J29" t="s">
        <v>58</v>
      </c>
      <c r="K29" s="10">
        <v>0.46948537582918182</v>
      </c>
      <c r="L29" s="10">
        <v>0.46948537582918182</v>
      </c>
      <c r="M29">
        <v>0</v>
      </c>
    </row>
    <row r="30" spans="1:16" x14ac:dyDescent="0.2">
      <c r="A30" t="s">
        <v>50</v>
      </c>
      <c r="B30" t="s">
        <v>57</v>
      </c>
      <c r="C30" t="s">
        <v>12</v>
      </c>
      <c r="D30" s="3" t="s">
        <v>15</v>
      </c>
      <c r="E30">
        <v>21.29999923706055</v>
      </c>
      <c r="I30" s="3">
        <v>1145305</v>
      </c>
      <c r="J30" t="s">
        <v>34</v>
      </c>
      <c r="K30" s="10">
        <v>0.46948537582918182</v>
      </c>
      <c r="L30" s="10">
        <v>0.46948537582918182</v>
      </c>
      <c r="M30">
        <v>0</v>
      </c>
      <c r="O30" s="15">
        <f>E30-E8</f>
        <v>0.19999885559082031</v>
      </c>
    </row>
    <row r="31" spans="1:16" x14ac:dyDescent="0.2">
      <c r="A31" t="s">
        <v>50</v>
      </c>
      <c r="B31" t="s">
        <v>57</v>
      </c>
      <c r="C31" t="s">
        <v>12</v>
      </c>
      <c r="D31" s="3" t="s">
        <v>19</v>
      </c>
      <c r="E31">
        <v>21.29999923706055</v>
      </c>
      <c r="I31" s="3">
        <v>1145305</v>
      </c>
      <c r="J31" t="s">
        <v>20</v>
      </c>
      <c r="K31" s="10">
        <v>0.46948537582918182</v>
      </c>
      <c r="L31" s="10">
        <v>0.46948537582918182</v>
      </c>
      <c r="M31">
        <v>0</v>
      </c>
    </row>
    <row r="32" spans="1:16" x14ac:dyDescent="0.2">
      <c r="A32" t="s">
        <v>50</v>
      </c>
      <c r="B32" t="s">
        <v>59</v>
      </c>
      <c r="C32" t="s">
        <v>12</v>
      </c>
      <c r="D32" t="s">
        <v>13</v>
      </c>
      <c r="E32">
        <v>21.20000076293945</v>
      </c>
      <c r="I32" s="3">
        <v>775038</v>
      </c>
      <c r="J32" t="s">
        <v>60</v>
      </c>
      <c r="K32">
        <v>0.47169089869046121</v>
      </c>
      <c r="L32">
        <v>0</v>
      </c>
      <c r="M32">
        <v>0</v>
      </c>
    </row>
    <row r="33" spans="1:16" x14ac:dyDescent="0.2">
      <c r="A33" t="s">
        <v>50</v>
      </c>
      <c r="B33" t="s">
        <v>59</v>
      </c>
      <c r="C33" t="s">
        <v>12</v>
      </c>
      <c r="D33" t="s">
        <v>15</v>
      </c>
      <c r="E33">
        <v>21.20000076293945</v>
      </c>
      <c r="I33" s="3">
        <v>775038</v>
      </c>
      <c r="J33" t="s">
        <v>61</v>
      </c>
      <c r="K33">
        <v>0.47169089869046121</v>
      </c>
      <c r="L33">
        <v>0</v>
      </c>
      <c r="M33">
        <v>0</v>
      </c>
    </row>
    <row r="34" spans="1:16" x14ac:dyDescent="0.2">
      <c r="A34" t="s">
        <v>50</v>
      </c>
      <c r="B34" t="s">
        <v>62</v>
      </c>
      <c r="C34" t="s">
        <v>12</v>
      </c>
      <c r="D34" t="s">
        <v>13</v>
      </c>
      <c r="E34">
        <v>21.20000076293945</v>
      </c>
      <c r="I34" s="3">
        <v>589100</v>
      </c>
      <c r="J34" t="s">
        <v>63</v>
      </c>
      <c r="K34">
        <v>0.47169089869046121</v>
      </c>
      <c r="L34">
        <v>0.47169089869046121</v>
      </c>
      <c r="M34">
        <v>0.47169089869046121</v>
      </c>
    </row>
    <row r="35" spans="1:16" x14ac:dyDescent="0.2">
      <c r="A35" s="2" t="s">
        <v>50</v>
      </c>
      <c r="B35" s="2" t="s">
        <v>62</v>
      </c>
      <c r="C35" s="2" t="s">
        <v>12</v>
      </c>
      <c r="D35" s="2" t="s">
        <v>19</v>
      </c>
      <c r="E35" s="2">
        <v>21.20000076293945</v>
      </c>
      <c r="F35" s="2"/>
      <c r="G35" s="20"/>
      <c r="H35" s="20"/>
      <c r="I35" s="4">
        <v>589100</v>
      </c>
      <c r="J35" s="2" t="s">
        <v>20</v>
      </c>
      <c r="K35" s="2">
        <v>0.47169089869046121</v>
      </c>
      <c r="L35" s="2">
        <v>0.47169089869046121</v>
      </c>
      <c r="M35" s="2">
        <v>0.47169089869046121</v>
      </c>
    </row>
    <row r="36" spans="1:16" x14ac:dyDescent="0.2">
      <c r="A36" t="s">
        <v>64</v>
      </c>
      <c r="B36" t="s">
        <v>65</v>
      </c>
      <c r="C36" t="s">
        <v>12</v>
      </c>
      <c r="D36" t="s">
        <v>15</v>
      </c>
      <c r="E36">
        <v>21.29999923706055</v>
      </c>
      <c r="I36">
        <v>0</v>
      </c>
      <c r="J36" t="s">
        <v>66</v>
      </c>
      <c r="K36">
        <v>0</v>
      </c>
      <c r="L36">
        <v>-0.46947642114044408</v>
      </c>
      <c r="M36">
        <v>0</v>
      </c>
    </row>
    <row r="37" spans="1:16" x14ac:dyDescent="0.2">
      <c r="A37" t="s">
        <v>64</v>
      </c>
      <c r="B37" t="s">
        <v>67</v>
      </c>
      <c r="C37" t="s">
        <v>12</v>
      </c>
      <c r="D37" t="s">
        <v>13</v>
      </c>
      <c r="E37" s="6">
        <v>21.20000076293945</v>
      </c>
      <c r="F37" s="9"/>
      <c r="H37" s="19">
        <f>E37-E28</f>
        <v>0.10000038146971946</v>
      </c>
      <c r="I37">
        <v>628800</v>
      </c>
      <c r="J37" t="s">
        <v>68</v>
      </c>
      <c r="K37">
        <v>0.47169089869046121</v>
      </c>
      <c r="L37">
        <v>0.47169089869046121</v>
      </c>
      <c r="M37">
        <v>0.47169089869046121</v>
      </c>
    </row>
    <row r="38" spans="1:16" x14ac:dyDescent="0.2">
      <c r="A38" t="s">
        <v>64</v>
      </c>
      <c r="B38" t="s">
        <v>69</v>
      </c>
      <c r="C38" t="s">
        <v>12</v>
      </c>
      <c r="D38" t="s">
        <v>13</v>
      </c>
      <c r="E38">
        <v>21.29999923706055</v>
      </c>
      <c r="I38" s="3">
        <v>518230</v>
      </c>
      <c r="J38" t="s">
        <v>70</v>
      </c>
      <c r="K38">
        <v>0</v>
      </c>
      <c r="L38">
        <v>-0.46947642114044408</v>
      </c>
      <c r="M38">
        <v>0</v>
      </c>
    </row>
    <row r="39" spans="1:16" x14ac:dyDescent="0.2">
      <c r="A39" t="s">
        <v>64</v>
      </c>
      <c r="B39" t="s">
        <v>69</v>
      </c>
      <c r="C39" t="s">
        <v>12</v>
      </c>
      <c r="D39" t="s">
        <v>19</v>
      </c>
      <c r="E39">
        <v>21.29999923706055</v>
      </c>
      <c r="I39" s="3">
        <v>518230</v>
      </c>
      <c r="J39" t="s">
        <v>20</v>
      </c>
      <c r="K39">
        <v>0</v>
      </c>
      <c r="L39">
        <v>-0.46947642114044408</v>
      </c>
      <c r="M39">
        <v>0</v>
      </c>
    </row>
    <row r="40" spans="1:16" x14ac:dyDescent="0.2">
      <c r="A40" t="s">
        <v>64</v>
      </c>
      <c r="B40" t="s">
        <v>71</v>
      </c>
      <c r="C40" t="s">
        <v>12</v>
      </c>
      <c r="D40" t="s">
        <v>15</v>
      </c>
      <c r="E40" s="6">
        <v>21.20000076293945</v>
      </c>
      <c r="F40" s="9"/>
      <c r="H40" s="19">
        <f>E40-E37</f>
        <v>0</v>
      </c>
      <c r="I40">
        <v>29200</v>
      </c>
      <c r="J40" t="s">
        <v>43</v>
      </c>
      <c r="K40">
        <v>0.47169089869046121</v>
      </c>
      <c r="L40">
        <v>0.47169089869046121</v>
      </c>
      <c r="M40">
        <v>0.94339079430811201</v>
      </c>
    </row>
    <row r="41" spans="1:16" x14ac:dyDescent="0.2">
      <c r="A41" t="s">
        <v>64</v>
      </c>
      <c r="B41" t="s">
        <v>72</v>
      </c>
      <c r="C41" t="s">
        <v>12</v>
      </c>
      <c r="D41" t="s">
        <v>15</v>
      </c>
      <c r="E41">
        <v>21.29999923706055</v>
      </c>
      <c r="G41" s="24">
        <f>E41-E25</f>
        <v>-0.40000152587889914</v>
      </c>
      <c r="I41">
        <v>104</v>
      </c>
      <c r="J41" t="s">
        <v>73</v>
      </c>
      <c r="K41" s="8">
        <v>-0.46947642114044408</v>
      </c>
      <c r="L41" s="9">
        <v>0.46948537582918182</v>
      </c>
      <c r="M41">
        <v>0</v>
      </c>
      <c r="P41" s="28" t="s">
        <v>539</v>
      </c>
    </row>
    <row r="42" spans="1:16" x14ac:dyDescent="0.2">
      <c r="A42" t="s">
        <v>64</v>
      </c>
      <c r="B42" t="s">
        <v>74</v>
      </c>
      <c r="C42" t="s">
        <v>12</v>
      </c>
      <c r="D42" t="s">
        <v>15</v>
      </c>
      <c r="E42" s="6">
        <v>21.20000076293945</v>
      </c>
      <c r="F42" s="9"/>
      <c r="H42" s="19">
        <f>E42-E40</f>
        <v>0</v>
      </c>
      <c r="I42">
        <v>129600</v>
      </c>
      <c r="J42" t="s">
        <v>73</v>
      </c>
      <c r="K42" s="10">
        <v>0.94339079430811201</v>
      </c>
      <c r="L42" s="10">
        <v>0.94339079430811201</v>
      </c>
      <c r="M42" s="10">
        <v>0.94339079430811201</v>
      </c>
      <c r="O42" s="15">
        <f>E42-E8</f>
        <v>0.10000038146971946</v>
      </c>
    </row>
    <row r="43" spans="1:16" x14ac:dyDescent="0.2">
      <c r="A43" t="s">
        <v>64</v>
      </c>
      <c r="B43" t="s">
        <v>75</v>
      </c>
      <c r="C43" t="s">
        <v>12</v>
      </c>
      <c r="D43" t="s">
        <v>15</v>
      </c>
      <c r="E43" s="5">
        <v>21.39999961853027</v>
      </c>
      <c r="F43" s="8"/>
      <c r="G43" s="23"/>
      <c r="I43">
        <v>236008</v>
      </c>
      <c r="J43" t="s">
        <v>76</v>
      </c>
      <c r="K43">
        <v>0</v>
      </c>
      <c r="L43">
        <v>0</v>
      </c>
      <c r="M43">
        <v>0</v>
      </c>
    </row>
    <row r="44" spans="1:16" x14ac:dyDescent="0.2">
      <c r="A44" t="s">
        <v>64</v>
      </c>
      <c r="B44" t="s">
        <v>77</v>
      </c>
      <c r="C44" t="s">
        <v>12</v>
      </c>
      <c r="D44" t="s">
        <v>13</v>
      </c>
      <c r="E44" s="5">
        <v>21.39999961853027</v>
      </c>
      <c r="F44" s="8"/>
      <c r="G44" s="23"/>
      <c r="I44" s="3">
        <v>458700</v>
      </c>
      <c r="J44" t="s">
        <v>78</v>
      </c>
      <c r="K44">
        <v>0</v>
      </c>
      <c r="L44">
        <v>-0.46729151052477669</v>
      </c>
      <c r="M44">
        <v>0</v>
      </c>
    </row>
    <row r="45" spans="1:16" x14ac:dyDescent="0.2">
      <c r="A45" t="s">
        <v>64</v>
      </c>
      <c r="B45" t="s">
        <v>77</v>
      </c>
      <c r="C45" t="s">
        <v>12</v>
      </c>
      <c r="D45" t="s">
        <v>15</v>
      </c>
      <c r="E45" s="5">
        <v>21.39999961853027</v>
      </c>
      <c r="F45" s="8"/>
      <c r="G45" s="23"/>
      <c r="I45" s="3">
        <v>458700</v>
      </c>
      <c r="J45" t="s">
        <v>79</v>
      </c>
      <c r="K45">
        <v>0</v>
      </c>
      <c r="L45">
        <v>-0.46729151052477669</v>
      </c>
      <c r="M45">
        <v>0</v>
      </c>
    </row>
    <row r="46" spans="1:16" x14ac:dyDescent="0.2">
      <c r="A46" t="s">
        <v>64</v>
      </c>
      <c r="B46" t="s">
        <v>80</v>
      </c>
      <c r="C46" t="s">
        <v>12</v>
      </c>
      <c r="D46" t="s">
        <v>13</v>
      </c>
      <c r="E46" s="5">
        <v>21.39999961853027</v>
      </c>
      <c r="F46" s="8"/>
      <c r="G46" s="23"/>
      <c r="I46" s="3">
        <v>273837</v>
      </c>
      <c r="J46" t="s">
        <v>81</v>
      </c>
      <c r="K46">
        <v>-0.93457410820531583</v>
      </c>
      <c r="L46">
        <v>0</v>
      </c>
      <c r="M46">
        <v>0</v>
      </c>
    </row>
    <row r="47" spans="1:16" x14ac:dyDescent="0.2">
      <c r="A47" t="s">
        <v>64</v>
      </c>
      <c r="B47" t="s">
        <v>80</v>
      </c>
      <c r="C47" t="s">
        <v>12</v>
      </c>
      <c r="D47" t="s">
        <v>19</v>
      </c>
      <c r="E47" s="5">
        <v>21.39999961853027</v>
      </c>
      <c r="F47" s="8"/>
      <c r="G47" s="23">
        <f>E47-E41</f>
        <v>0.10000038146971946</v>
      </c>
      <c r="I47" s="3">
        <v>273837</v>
      </c>
      <c r="J47" t="s">
        <v>20</v>
      </c>
      <c r="K47">
        <v>-0.93457410820531583</v>
      </c>
      <c r="L47">
        <v>0</v>
      </c>
      <c r="M47">
        <v>0</v>
      </c>
    </row>
    <row r="48" spans="1:16" x14ac:dyDescent="0.2">
      <c r="A48" t="s">
        <v>64</v>
      </c>
      <c r="B48" t="s">
        <v>82</v>
      </c>
      <c r="C48" t="s">
        <v>12</v>
      </c>
      <c r="D48" t="s">
        <v>13</v>
      </c>
      <c r="E48">
        <v>21.29999923706055</v>
      </c>
      <c r="H48" s="19"/>
      <c r="I48" s="3">
        <v>327800</v>
      </c>
      <c r="J48" t="s">
        <v>83</v>
      </c>
      <c r="K48">
        <v>0.46948537582918182</v>
      </c>
      <c r="L48">
        <v>0.46948537582918182</v>
      </c>
      <c r="M48">
        <v>2.3474179244571709</v>
      </c>
    </row>
    <row r="49" spans="1:17" x14ac:dyDescent="0.2">
      <c r="A49" s="2" t="s">
        <v>64</v>
      </c>
      <c r="B49" s="2" t="s">
        <v>82</v>
      </c>
      <c r="C49" s="2" t="s">
        <v>12</v>
      </c>
      <c r="D49" s="2" t="s">
        <v>19</v>
      </c>
      <c r="E49" s="2">
        <v>21.29999923706055</v>
      </c>
      <c r="F49" s="2"/>
      <c r="G49" s="20"/>
      <c r="H49" s="21">
        <f>E49-E42</f>
        <v>9.9998474121100855E-2</v>
      </c>
      <c r="I49" s="4">
        <v>327800</v>
      </c>
      <c r="J49" s="2" t="s">
        <v>20</v>
      </c>
      <c r="K49" s="2">
        <v>0.46948537582918182</v>
      </c>
      <c r="L49" s="2">
        <v>0.46948537582918182</v>
      </c>
      <c r="M49" s="2">
        <v>2.3474179244571709</v>
      </c>
      <c r="O49" s="15">
        <f>E49-E8</f>
        <v>0.19999885559082031</v>
      </c>
    </row>
    <row r="50" spans="1:17" x14ac:dyDescent="0.2">
      <c r="A50" t="s">
        <v>84</v>
      </c>
      <c r="B50" t="s">
        <v>85</v>
      </c>
      <c r="C50" t="s">
        <v>12</v>
      </c>
      <c r="D50" t="s">
        <v>15</v>
      </c>
      <c r="E50" s="6">
        <v>21.70000076293945</v>
      </c>
      <c r="F50" s="9"/>
      <c r="I50">
        <v>0</v>
      </c>
      <c r="J50" t="s">
        <v>86</v>
      </c>
      <c r="K50">
        <v>0</v>
      </c>
      <c r="L50">
        <v>0.46082244518570281</v>
      </c>
      <c r="M50">
        <v>0.92165367999613257</v>
      </c>
    </row>
    <row r="51" spans="1:17" x14ac:dyDescent="0.2">
      <c r="A51" t="s">
        <v>84</v>
      </c>
      <c r="B51" t="s">
        <v>87</v>
      </c>
      <c r="C51" t="s">
        <v>12</v>
      </c>
      <c r="D51" t="s">
        <v>13</v>
      </c>
      <c r="E51" s="6">
        <v>21.70000076293945</v>
      </c>
      <c r="F51" s="9"/>
      <c r="I51" s="3">
        <v>377816</v>
      </c>
      <c r="J51" t="s">
        <v>88</v>
      </c>
      <c r="K51">
        <v>0.92165367999613257</v>
      </c>
      <c r="L51">
        <v>0.46082244518570281</v>
      </c>
      <c r="M51">
        <v>0.92165367999613257</v>
      </c>
    </row>
    <row r="52" spans="1:17" x14ac:dyDescent="0.2">
      <c r="A52" t="s">
        <v>84</v>
      </c>
      <c r="B52" t="s">
        <v>87</v>
      </c>
      <c r="C52" t="s">
        <v>12</v>
      </c>
      <c r="D52" t="s">
        <v>19</v>
      </c>
      <c r="E52" s="6">
        <v>21.70000076293945</v>
      </c>
      <c r="F52" s="9"/>
      <c r="I52" s="3">
        <v>377816</v>
      </c>
      <c r="J52" t="s">
        <v>20</v>
      </c>
      <c r="K52">
        <v>0.92165367999613257</v>
      </c>
      <c r="L52">
        <v>0.46082244518570281</v>
      </c>
      <c r="M52">
        <v>0.92165367999613257</v>
      </c>
    </row>
    <row r="53" spans="1:17" x14ac:dyDescent="0.2">
      <c r="A53" t="s">
        <v>84</v>
      </c>
      <c r="B53" t="s">
        <v>89</v>
      </c>
      <c r="C53" t="s">
        <v>12</v>
      </c>
      <c r="D53" t="s">
        <v>13</v>
      </c>
      <c r="E53" s="6">
        <v>21.70000076293945</v>
      </c>
      <c r="F53" s="9"/>
      <c r="I53" s="3">
        <v>683050</v>
      </c>
      <c r="J53" t="s">
        <v>90</v>
      </c>
      <c r="K53">
        <v>0.46082244518570281</v>
      </c>
      <c r="L53">
        <v>0</v>
      </c>
      <c r="M53">
        <v>0.92165367999613257</v>
      </c>
    </row>
    <row r="54" spans="1:17" x14ac:dyDescent="0.2">
      <c r="A54" t="s">
        <v>84</v>
      </c>
      <c r="B54" t="s">
        <v>89</v>
      </c>
      <c r="C54" t="s">
        <v>12</v>
      </c>
      <c r="D54" t="s">
        <v>19</v>
      </c>
      <c r="E54" s="6">
        <v>21.70000076293945</v>
      </c>
      <c r="F54" s="9"/>
      <c r="I54" s="3">
        <v>683050</v>
      </c>
      <c r="J54" t="s">
        <v>20</v>
      </c>
      <c r="K54">
        <v>0.46082244518570281</v>
      </c>
      <c r="L54">
        <v>0</v>
      </c>
      <c r="M54">
        <v>0.92165367999613257</v>
      </c>
    </row>
    <row r="55" spans="1:17" x14ac:dyDescent="0.2">
      <c r="A55" t="s">
        <v>84</v>
      </c>
      <c r="B55" t="s">
        <v>91</v>
      </c>
      <c r="C55" t="s">
        <v>12</v>
      </c>
      <c r="D55" t="s">
        <v>13</v>
      </c>
      <c r="E55">
        <v>21.79999923706055</v>
      </c>
      <c r="G55" s="23">
        <f>E55-E47</f>
        <v>0.39999961853028054</v>
      </c>
      <c r="H55" s="19">
        <f>E55-E49</f>
        <v>0.5</v>
      </c>
      <c r="I55">
        <v>624230</v>
      </c>
      <c r="J55" t="s">
        <v>92</v>
      </c>
      <c r="K55" s="8">
        <v>-0.45870861293927861</v>
      </c>
      <c r="L55" s="9">
        <v>0.45871736224523979</v>
      </c>
      <c r="M55" s="9">
        <v>0.45871736224523979</v>
      </c>
      <c r="P55" s="28" t="s">
        <v>539</v>
      </c>
    </row>
    <row r="56" spans="1:17" x14ac:dyDescent="0.2">
      <c r="A56" t="s">
        <v>84</v>
      </c>
      <c r="B56" t="s">
        <v>93</v>
      </c>
      <c r="C56" t="s">
        <v>12</v>
      </c>
      <c r="D56" t="s">
        <v>13</v>
      </c>
      <c r="E56">
        <v>21.89999961853027</v>
      </c>
      <c r="I56">
        <v>967044</v>
      </c>
      <c r="J56" t="s">
        <v>94</v>
      </c>
      <c r="K56">
        <v>-0.45662275439088651</v>
      </c>
      <c r="L56">
        <v>-0.45662275439088651</v>
      </c>
      <c r="M56">
        <v>0</v>
      </c>
    </row>
    <row r="57" spans="1:17" x14ac:dyDescent="0.2">
      <c r="A57" t="s">
        <v>84</v>
      </c>
      <c r="B57" t="s">
        <v>95</v>
      </c>
      <c r="C57" t="s">
        <v>12</v>
      </c>
      <c r="D57" t="s">
        <v>13</v>
      </c>
      <c r="E57">
        <v>21.89999961853027</v>
      </c>
      <c r="I57">
        <v>1164700</v>
      </c>
      <c r="J57" t="s">
        <v>96</v>
      </c>
      <c r="K57">
        <v>0</v>
      </c>
      <c r="L57">
        <v>0</v>
      </c>
      <c r="M57">
        <v>0</v>
      </c>
    </row>
    <row r="58" spans="1:17" x14ac:dyDescent="0.2">
      <c r="A58" t="s">
        <v>84</v>
      </c>
      <c r="B58" t="s">
        <v>97</v>
      </c>
      <c r="C58" t="s">
        <v>12</v>
      </c>
      <c r="D58" t="s">
        <v>13</v>
      </c>
      <c r="E58">
        <v>22.10000038146973</v>
      </c>
      <c r="H58" s="19"/>
      <c r="I58" s="3">
        <v>1363194</v>
      </c>
      <c r="J58" t="s">
        <v>98</v>
      </c>
      <c r="K58">
        <v>0.90497218162273929</v>
      </c>
      <c r="L58">
        <v>2.2624433998618252</v>
      </c>
      <c r="M58">
        <v>1.8099529937821299</v>
      </c>
    </row>
    <row r="59" spans="1:17" x14ac:dyDescent="0.2">
      <c r="A59" t="s">
        <v>84</v>
      </c>
      <c r="B59" t="s">
        <v>97</v>
      </c>
      <c r="C59" t="s">
        <v>12</v>
      </c>
      <c r="D59" t="s">
        <v>15</v>
      </c>
      <c r="E59">
        <v>22.10000038146973</v>
      </c>
      <c r="H59" s="19">
        <f>E59-E55</f>
        <v>0.30000114440917969</v>
      </c>
      <c r="I59" s="3">
        <v>1363194</v>
      </c>
      <c r="J59" t="s">
        <v>16</v>
      </c>
      <c r="K59">
        <v>0.90497218162273929</v>
      </c>
      <c r="L59">
        <v>2.2624433998618252</v>
      </c>
      <c r="M59">
        <v>1.8099529937821299</v>
      </c>
      <c r="O59" s="15">
        <f>E59-E49</f>
        <v>0.80000114440917969</v>
      </c>
    </row>
    <row r="60" spans="1:17" x14ac:dyDescent="0.2">
      <c r="A60" t="s">
        <v>84</v>
      </c>
      <c r="B60" t="s">
        <v>99</v>
      </c>
      <c r="C60" t="s">
        <v>12</v>
      </c>
      <c r="D60" t="s">
        <v>13</v>
      </c>
      <c r="E60">
        <v>22.29999923706055</v>
      </c>
      <c r="G60" s="23"/>
      <c r="H60" s="19"/>
      <c r="I60" s="3">
        <v>1936020</v>
      </c>
      <c r="J60" t="s">
        <v>100</v>
      </c>
      <c r="K60" s="8">
        <v>-0.44842366610894541</v>
      </c>
      <c r="L60" s="9">
        <v>0.89686443848424113</v>
      </c>
      <c r="M60" s="9">
        <v>0.89686443848424113</v>
      </c>
      <c r="P60" s="28" t="s">
        <v>539</v>
      </c>
    </row>
    <row r="61" spans="1:17" x14ac:dyDescent="0.2">
      <c r="A61" t="s">
        <v>84</v>
      </c>
      <c r="B61" t="s">
        <v>99</v>
      </c>
      <c r="C61" t="s">
        <v>12</v>
      </c>
      <c r="D61" t="s">
        <v>15</v>
      </c>
      <c r="E61">
        <v>22.29999923706055</v>
      </c>
      <c r="G61" s="23">
        <f>E61-E55</f>
        <v>0.5</v>
      </c>
      <c r="H61" s="19">
        <f>E61-E59</f>
        <v>0.19999885559082031</v>
      </c>
      <c r="I61" s="3">
        <v>1936020</v>
      </c>
      <c r="J61" t="s">
        <v>101</v>
      </c>
      <c r="K61" s="8">
        <v>-0.44842366610894541</v>
      </c>
      <c r="L61" s="9">
        <v>0.89686443848424113</v>
      </c>
      <c r="M61" s="9">
        <v>0.89686443848424113</v>
      </c>
      <c r="P61" s="28" t="s">
        <v>539</v>
      </c>
    </row>
    <row r="62" spans="1:17" x14ac:dyDescent="0.2">
      <c r="A62" t="s">
        <v>84</v>
      </c>
      <c r="B62" t="s">
        <v>102</v>
      </c>
      <c r="C62" t="s">
        <v>12</v>
      </c>
      <c r="D62" t="s">
        <v>13</v>
      </c>
      <c r="E62" s="5">
        <v>22.60000038146973</v>
      </c>
      <c r="F62" s="9"/>
      <c r="I62" s="3">
        <v>3077691</v>
      </c>
      <c r="J62" t="s">
        <v>103</v>
      </c>
      <c r="K62">
        <v>0</v>
      </c>
      <c r="L62">
        <v>-0.44247955655664162</v>
      </c>
      <c r="M62">
        <v>0</v>
      </c>
    </row>
    <row r="63" spans="1:17" ht="15" thickBot="1" x14ac:dyDescent="0.25">
      <c r="A63" s="2" t="s">
        <v>84</v>
      </c>
      <c r="B63" s="2" t="s">
        <v>102</v>
      </c>
      <c r="C63" s="2" t="s">
        <v>12</v>
      </c>
      <c r="D63" s="2" t="s">
        <v>15</v>
      </c>
      <c r="E63" s="11">
        <v>22.60000038146973</v>
      </c>
      <c r="F63" s="12"/>
      <c r="G63" s="20"/>
      <c r="H63" s="20"/>
      <c r="I63" s="4">
        <v>3077691</v>
      </c>
      <c r="J63" s="2" t="s">
        <v>28</v>
      </c>
      <c r="K63" s="2">
        <v>0</v>
      </c>
      <c r="L63" s="2">
        <v>-0.44247955655664162</v>
      </c>
      <c r="M63" s="2">
        <v>0</v>
      </c>
    </row>
    <row r="64" spans="1:17" ht="15.75" thickTop="1" thickBot="1" x14ac:dyDescent="0.25">
      <c r="A64" t="s">
        <v>104</v>
      </c>
      <c r="B64" t="s">
        <v>105</v>
      </c>
      <c r="C64" t="s">
        <v>12</v>
      </c>
      <c r="D64" t="s">
        <v>15</v>
      </c>
      <c r="E64" s="5">
        <v>23.20000076293945</v>
      </c>
      <c r="F64" s="9"/>
      <c r="G64" s="23">
        <f>E64-E61</f>
        <v>0.90000152587889914</v>
      </c>
      <c r="H64" s="19">
        <f>E64-E61</f>
        <v>0.90000152587889914</v>
      </c>
      <c r="I64">
        <v>0</v>
      </c>
      <c r="J64" t="s">
        <v>106</v>
      </c>
      <c r="K64" s="9">
        <v>0.43102789151987891</v>
      </c>
      <c r="L64" s="8">
        <v>-0.86207222569984476</v>
      </c>
      <c r="M64" s="8">
        <v>-0.43103611284992238</v>
      </c>
      <c r="P64" s="16" t="s">
        <v>521</v>
      </c>
      <c r="Q64" s="28" t="s">
        <v>540</v>
      </c>
    </row>
    <row r="65" spans="1:15" ht="15" thickTop="1" x14ac:dyDescent="0.2">
      <c r="A65" t="s">
        <v>104</v>
      </c>
      <c r="B65" t="s">
        <v>107</v>
      </c>
      <c r="C65" t="s">
        <v>12</v>
      </c>
      <c r="D65" s="3" t="s">
        <v>13</v>
      </c>
      <c r="E65" s="5">
        <v>23.20000076293945</v>
      </c>
      <c r="F65" s="9"/>
      <c r="I65" s="3">
        <v>2760501</v>
      </c>
      <c r="J65" t="s">
        <v>108</v>
      </c>
      <c r="K65">
        <v>0</v>
      </c>
      <c r="L65" s="10">
        <v>-0.43103611284992238</v>
      </c>
      <c r="M65" s="10">
        <v>-0.43103611284992238</v>
      </c>
    </row>
    <row r="66" spans="1:15" x14ac:dyDescent="0.2">
      <c r="A66" t="s">
        <v>104</v>
      </c>
      <c r="B66" t="s">
        <v>107</v>
      </c>
      <c r="C66" t="s">
        <v>12</v>
      </c>
      <c r="D66" s="3" t="s">
        <v>15</v>
      </c>
      <c r="E66" s="5">
        <v>23.20000076293945</v>
      </c>
      <c r="F66" s="9"/>
      <c r="I66" s="3">
        <v>2760501</v>
      </c>
      <c r="J66" t="s">
        <v>109</v>
      </c>
      <c r="K66">
        <v>0</v>
      </c>
      <c r="L66" s="10">
        <v>-0.43103611284992238</v>
      </c>
      <c r="M66" s="10">
        <v>-0.43103611284992238</v>
      </c>
      <c r="N66" s="15">
        <f>E66-E25</f>
        <v>1.5</v>
      </c>
    </row>
    <row r="67" spans="1:15" x14ac:dyDescent="0.2">
      <c r="A67" t="s">
        <v>104</v>
      </c>
      <c r="B67" t="s">
        <v>107</v>
      </c>
      <c r="C67" t="s">
        <v>12</v>
      </c>
      <c r="D67" s="3" t="s">
        <v>19</v>
      </c>
      <c r="E67" s="5">
        <v>23.20000076293945</v>
      </c>
      <c r="F67" s="9"/>
      <c r="I67" s="3">
        <v>2760501</v>
      </c>
      <c r="J67" t="s">
        <v>20</v>
      </c>
      <c r="K67">
        <v>0</v>
      </c>
      <c r="L67" s="10">
        <v>-0.43103611284992238</v>
      </c>
      <c r="M67" s="10">
        <v>-0.43103611284992238</v>
      </c>
    </row>
    <row r="68" spans="1:15" x14ac:dyDescent="0.2">
      <c r="A68" t="s">
        <v>104</v>
      </c>
      <c r="B68" t="s">
        <v>110</v>
      </c>
      <c r="C68" t="s">
        <v>12</v>
      </c>
      <c r="D68" s="3" t="s">
        <v>13</v>
      </c>
      <c r="E68" s="5">
        <v>23.20000076293945</v>
      </c>
      <c r="F68" s="9"/>
      <c r="G68" s="23"/>
      <c r="I68" s="3">
        <v>1395000</v>
      </c>
      <c r="J68" t="s">
        <v>111</v>
      </c>
      <c r="K68">
        <v>-0.43103611284992238</v>
      </c>
      <c r="L68">
        <v>-0.43103611284992238</v>
      </c>
      <c r="M68">
        <v>-1.293108338549767</v>
      </c>
    </row>
    <row r="69" spans="1:15" x14ac:dyDescent="0.2">
      <c r="A69" t="s">
        <v>104</v>
      </c>
      <c r="B69" t="s">
        <v>110</v>
      </c>
      <c r="C69" t="s">
        <v>12</v>
      </c>
      <c r="D69" s="3" t="s">
        <v>15</v>
      </c>
      <c r="E69" s="5">
        <v>23.20000076293945</v>
      </c>
      <c r="F69" s="9"/>
      <c r="G69" s="23"/>
      <c r="I69" s="3">
        <v>1395000</v>
      </c>
      <c r="J69" t="s">
        <v>112</v>
      </c>
      <c r="K69">
        <v>-0.43103611284992238</v>
      </c>
      <c r="L69">
        <v>-0.43103611284992238</v>
      </c>
      <c r="M69">
        <v>-1.293108338549767</v>
      </c>
      <c r="N69" s="15">
        <f>E69-E25</f>
        <v>1.5</v>
      </c>
    </row>
    <row r="70" spans="1:15" x14ac:dyDescent="0.2">
      <c r="A70" t="s">
        <v>104</v>
      </c>
      <c r="B70" t="s">
        <v>110</v>
      </c>
      <c r="C70" t="s">
        <v>12</v>
      </c>
      <c r="D70" s="3" t="s">
        <v>19</v>
      </c>
      <c r="E70" s="5">
        <v>23.20000076293945</v>
      </c>
      <c r="F70" s="9"/>
      <c r="G70" s="23">
        <f>E70-E64</f>
        <v>0</v>
      </c>
      <c r="I70" s="3">
        <v>1395000</v>
      </c>
      <c r="J70" s="6" t="s">
        <v>20</v>
      </c>
      <c r="K70">
        <v>-0.43103611284992238</v>
      </c>
      <c r="L70">
        <v>-0.43103611284992238</v>
      </c>
      <c r="M70">
        <v>-1.293108338549767</v>
      </c>
    </row>
    <row r="71" spans="1:15" x14ac:dyDescent="0.2">
      <c r="A71" t="s">
        <v>104</v>
      </c>
      <c r="B71" t="s">
        <v>113</v>
      </c>
      <c r="C71" t="s">
        <v>12</v>
      </c>
      <c r="D71" t="s">
        <v>13</v>
      </c>
      <c r="E71">
        <v>22.89999961853027</v>
      </c>
      <c r="G71" s="24"/>
      <c r="I71" s="3">
        <v>3116600</v>
      </c>
      <c r="J71" t="s">
        <v>114</v>
      </c>
      <c r="K71">
        <v>-2.1834061499084432</v>
      </c>
      <c r="L71">
        <v>-2.620089045696826</v>
      </c>
      <c r="M71">
        <v>-1.7467232541200599</v>
      </c>
    </row>
    <row r="72" spans="1:15" x14ac:dyDescent="0.2">
      <c r="A72" t="s">
        <v>104</v>
      </c>
      <c r="B72" t="s">
        <v>113</v>
      </c>
      <c r="C72" t="s">
        <v>12</v>
      </c>
      <c r="D72" t="s">
        <v>15</v>
      </c>
      <c r="E72">
        <v>22.89999961853027</v>
      </c>
      <c r="G72" s="24">
        <f>E72-E70</f>
        <v>-0.30000114440917969</v>
      </c>
      <c r="I72" s="3">
        <v>3116600</v>
      </c>
      <c r="J72" t="s">
        <v>115</v>
      </c>
      <c r="K72">
        <v>-2.1834061499084432</v>
      </c>
      <c r="L72">
        <v>-2.620089045696826</v>
      </c>
      <c r="M72">
        <v>-1.7467232541200599</v>
      </c>
      <c r="N72" s="15">
        <f>E72-E25</f>
        <v>1.1999988555908203</v>
      </c>
    </row>
    <row r="73" spans="1:15" ht="15" thickBot="1" x14ac:dyDescent="0.25">
      <c r="A73" t="s">
        <v>104</v>
      </c>
      <c r="B73" t="s">
        <v>116</v>
      </c>
      <c r="C73" t="s">
        <v>12</v>
      </c>
      <c r="D73" t="s">
        <v>13</v>
      </c>
      <c r="E73" s="6">
        <v>22.10000038146973</v>
      </c>
      <c r="F73" s="9"/>
      <c r="H73" s="22"/>
      <c r="I73" s="3">
        <v>3797210</v>
      </c>
      <c r="J73" t="s">
        <v>117</v>
      </c>
      <c r="K73">
        <v>0.90497218162273929</v>
      </c>
      <c r="L73">
        <v>1.8099529937821299</v>
      </c>
      <c r="M73">
        <v>2.2624433998618252</v>
      </c>
    </row>
    <row r="74" spans="1:15" ht="15.75" thickTop="1" thickBot="1" x14ac:dyDescent="0.25">
      <c r="A74" t="s">
        <v>104</v>
      </c>
      <c r="B74" t="s">
        <v>116</v>
      </c>
      <c r="C74" t="s">
        <v>12</v>
      </c>
      <c r="D74" t="s">
        <v>15</v>
      </c>
      <c r="E74" s="6">
        <v>22.10000038146973</v>
      </c>
      <c r="F74" s="9"/>
      <c r="H74" s="22">
        <f>E74-E64</f>
        <v>-1.1000003814697195</v>
      </c>
      <c r="I74" s="3">
        <v>3797210</v>
      </c>
      <c r="J74" t="s">
        <v>118</v>
      </c>
      <c r="K74">
        <v>0.90497218162273929</v>
      </c>
      <c r="L74">
        <v>1.8099529937821299</v>
      </c>
      <c r="M74">
        <v>2.2624433998618252</v>
      </c>
      <c r="O74" s="16">
        <f>E74-E59</f>
        <v>0</v>
      </c>
    </row>
    <row r="75" spans="1:15" ht="15" thickTop="1" x14ac:dyDescent="0.2">
      <c r="A75" t="s">
        <v>104</v>
      </c>
      <c r="B75" t="s">
        <v>119</v>
      </c>
      <c r="C75" t="s">
        <v>12</v>
      </c>
      <c r="D75" t="s">
        <v>13</v>
      </c>
      <c r="E75">
        <v>23</v>
      </c>
      <c r="I75" s="3">
        <v>2257607</v>
      </c>
      <c r="J75" t="s">
        <v>120</v>
      </c>
      <c r="K75">
        <v>0</v>
      </c>
      <c r="L75">
        <v>0.43478426725968072</v>
      </c>
      <c r="M75">
        <v>0</v>
      </c>
    </row>
    <row r="76" spans="1:15" ht="15" thickBot="1" x14ac:dyDescent="0.25">
      <c r="A76" s="2" t="s">
        <v>104</v>
      </c>
      <c r="B76" s="2" t="s">
        <v>119</v>
      </c>
      <c r="C76" s="2" t="s">
        <v>12</v>
      </c>
      <c r="D76" s="2" t="s">
        <v>15</v>
      </c>
      <c r="E76" s="2">
        <v>23</v>
      </c>
      <c r="F76" s="2"/>
      <c r="G76" s="20"/>
      <c r="H76" s="20"/>
      <c r="I76" s="4">
        <v>2257607</v>
      </c>
      <c r="J76" s="2" t="s">
        <v>121</v>
      </c>
      <c r="K76" s="2">
        <v>0</v>
      </c>
      <c r="L76" s="2">
        <v>0.43478426725968072</v>
      </c>
      <c r="M76" s="2">
        <v>0</v>
      </c>
    </row>
    <row r="77" spans="1:15" ht="15.75" thickTop="1" thickBot="1" x14ac:dyDescent="0.25">
      <c r="A77" t="s">
        <v>122</v>
      </c>
      <c r="B77" t="s">
        <v>123</v>
      </c>
      <c r="C77" t="s">
        <v>12</v>
      </c>
      <c r="D77" t="s">
        <v>15</v>
      </c>
      <c r="E77">
        <v>22.89999961853027</v>
      </c>
      <c r="G77" s="24">
        <f>E77-E72</f>
        <v>0</v>
      </c>
      <c r="I77">
        <v>0</v>
      </c>
      <c r="J77" t="s">
        <v>124</v>
      </c>
      <c r="K77">
        <v>-1.310040358331678</v>
      </c>
      <c r="L77">
        <v>-0.87335746254329527</v>
      </c>
      <c r="M77">
        <v>0</v>
      </c>
      <c r="N77" s="16">
        <f>E77-E72</f>
        <v>0</v>
      </c>
    </row>
    <row r="78" spans="1:15" ht="15" thickTop="1" x14ac:dyDescent="0.2">
      <c r="A78" t="s">
        <v>122</v>
      </c>
      <c r="B78" t="s">
        <v>125</v>
      </c>
      <c r="C78" t="s">
        <v>12</v>
      </c>
      <c r="D78" t="s">
        <v>13</v>
      </c>
      <c r="E78" s="6">
        <v>22.79999923706055</v>
      </c>
      <c r="F78" s="9"/>
      <c r="I78">
        <v>1599100</v>
      </c>
      <c r="J78" t="s">
        <v>126</v>
      </c>
      <c r="K78">
        <v>0</v>
      </c>
      <c r="L78">
        <v>0.87719635803478169</v>
      </c>
      <c r="M78">
        <v>0.87719635803478169</v>
      </c>
    </row>
    <row r="79" spans="1:15" x14ac:dyDescent="0.2">
      <c r="A79" t="s">
        <v>122</v>
      </c>
      <c r="B79" t="s">
        <v>127</v>
      </c>
      <c r="C79" t="s">
        <v>12</v>
      </c>
      <c r="D79" t="s">
        <v>13</v>
      </c>
      <c r="E79" s="5">
        <v>23.10000038146973</v>
      </c>
      <c r="F79" s="8"/>
      <c r="I79" s="3">
        <v>1264800</v>
      </c>
      <c r="J79" t="s">
        <v>128</v>
      </c>
      <c r="K79">
        <v>-0.43290207713565448</v>
      </c>
      <c r="L79">
        <v>-0.86580415427130897</v>
      </c>
      <c r="M79">
        <v>-0.86580415427130897</v>
      </c>
    </row>
    <row r="80" spans="1:15" x14ac:dyDescent="0.2">
      <c r="A80" t="s">
        <v>122</v>
      </c>
      <c r="B80" t="s">
        <v>127</v>
      </c>
      <c r="C80" t="s">
        <v>12</v>
      </c>
      <c r="D80" t="s">
        <v>15</v>
      </c>
      <c r="E80" s="5">
        <v>23.10000038146973</v>
      </c>
      <c r="F80" s="8"/>
      <c r="I80" s="3">
        <v>1264800</v>
      </c>
      <c r="J80" t="s">
        <v>61</v>
      </c>
      <c r="K80">
        <v>-0.43290207713565448</v>
      </c>
      <c r="L80">
        <v>-0.86580415427130897</v>
      </c>
      <c r="M80">
        <v>-0.86580415427130897</v>
      </c>
    </row>
    <row r="81" spans="1:17" x14ac:dyDescent="0.2">
      <c r="A81" t="s">
        <v>122</v>
      </c>
      <c r="B81" t="s">
        <v>129</v>
      </c>
      <c r="C81" t="s">
        <v>12</v>
      </c>
      <c r="D81" t="s">
        <v>15</v>
      </c>
      <c r="E81" s="6">
        <v>22.79999923706055</v>
      </c>
      <c r="F81" s="9"/>
      <c r="H81" s="19">
        <f>E81-E74</f>
        <v>0.69999885559082031</v>
      </c>
      <c r="I81">
        <v>47400</v>
      </c>
      <c r="J81" t="s">
        <v>73</v>
      </c>
      <c r="K81">
        <v>0.43859817901739079</v>
      </c>
      <c r="L81">
        <v>1.315794537052172</v>
      </c>
      <c r="M81">
        <v>1.7543927160695629</v>
      </c>
      <c r="O81" s="15">
        <f>E81-E74</f>
        <v>0.69999885559082031</v>
      </c>
    </row>
    <row r="82" spans="1:17" x14ac:dyDescent="0.2">
      <c r="A82" t="s">
        <v>122</v>
      </c>
      <c r="B82" t="s">
        <v>130</v>
      </c>
      <c r="C82" t="s">
        <v>12</v>
      </c>
      <c r="D82" t="s">
        <v>13</v>
      </c>
      <c r="E82">
        <v>22.89999961853027</v>
      </c>
      <c r="H82" s="19"/>
      <c r="I82" s="3">
        <v>736000</v>
      </c>
      <c r="J82" t="s">
        <v>131</v>
      </c>
      <c r="K82">
        <v>0</v>
      </c>
      <c r="L82">
        <v>0.4366828957883826</v>
      </c>
      <c r="M82">
        <v>1.310048687365148</v>
      </c>
    </row>
    <row r="83" spans="1:17" x14ac:dyDescent="0.2">
      <c r="A83" t="s">
        <v>122</v>
      </c>
      <c r="B83" t="s">
        <v>130</v>
      </c>
      <c r="C83" t="s">
        <v>12</v>
      </c>
      <c r="D83" t="s">
        <v>15</v>
      </c>
      <c r="E83">
        <v>22.89999961853027</v>
      </c>
      <c r="H83" s="19"/>
      <c r="I83" s="3">
        <v>736000</v>
      </c>
      <c r="J83" t="s">
        <v>132</v>
      </c>
      <c r="K83">
        <v>0</v>
      </c>
      <c r="L83">
        <v>0.4366828957883826</v>
      </c>
      <c r="M83">
        <v>1.310048687365148</v>
      </c>
    </row>
    <row r="84" spans="1:17" x14ac:dyDescent="0.2">
      <c r="A84" t="s">
        <v>122</v>
      </c>
      <c r="B84" t="s">
        <v>133</v>
      </c>
      <c r="C84" t="s">
        <v>12</v>
      </c>
      <c r="D84" t="s">
        <v>13</v>
      </c>
      <c r="E84">
        <v>22.89999961853027</v>
      </c>
      <c r="H84" s="19"/>
      <c r="I84" s="3">
        <v>609802</v>
      </c>
      <c r="J84" t="s">
        <v>134</v>
      </c>
      <c r="K84">
        <v>0.4366828957883826</v>
      </c>
      <c r="L84">
        <v>1.310048687365148</v>
      </c>
      <c r="M84">
        <v>0.87336579157676519</v>
      </c>
    </row>
    <row r="85" spans="1:17" x14ac:dyDescent="0.2">
      <c r="A85" t="s">
        <v>122</v>
      </c>
      <c r="B85" t="s">
        <v>133</v>
      </c>
      <c r="C85" t="s">
        <v>12</v>
      </c>
      <c r="D85" t="s">
        <v>19</v>
      </c>
      <c r="E85">
        <v>22.89999961853027</v>
      </c>
      <c r="H85" s="19">
        <f>E85-E81</f>
        <v>0.10000038146971946</v>
      </c>
      <c r="I85" s="3">
        <v>609802</v>
      </c>
      <c r="J85" t="s">
        <v>20</v>
      </c>
      <c r="K85">
        <v>0.4366828957883826</v>
      </c>
      <c r="L85">
        <v>1.310048687365148</v>
      </c>
      <c r="M85">
        <v>0.87336579157676519</v>
      </c>
      <c r="O85" s="15">
        <f>E85-E74</f>
        <v>0.79999923706053977</v>
      </c>
    </row>
    <row r="86" spans="1:17" x14ac:dyDescent="0.2">
      <c r="A86" t="s">
        <v>122</v>
      </c>
      <c r="B86" t="s">
        <v>135</v>
      </c>
      <c r="C86" t="s">
        <v>12</v>
      </c>
      <c r="D86" t="s">
        <v>13</v>
      </c>
      <c r="E86" s="5">
        <v>23.10000038146973</v>
      </c>
      <c r="F86" s="8"/>
      <c r="G86" s="23"/>
      <c r="H86" s="19"/>
      <c r="I86" s="3">
        <v>1037100</v>
      </c>
      <c r="J86" t="s">
        <v>136</v>
      </c>
      <c r="K86" s="8">
        <v>-0.43290207713565448</v>
      </c>
      <c r="L86" s="9">
        <v>0.43290207713565448</v>
      </c>
      <c r="M86">
        <v>0</v>
      </c>
      <c r="P86" s="28" t="s">
        <v>539</v>
      </c>
    </row>
    <row r="87" spans="1:17" ht="15" thickBot="1" x14ac:dyDescent="0.25">
      <c r="A87" t="s">
        <v>122</v>
      </c>
      <c r="B87" t="s">
        <v>135</v>
      </c>
      <c r="C87" t="s">
        <v>12</v>
      </c>
      <c r="D87" t="s">
        <v>15</v>
      </c>
      <c r="E87" s="5">
        <v>23.10000038146973</v>
      </c>
      <c r="F87" s="8"/>
      <c r="G87" s="23"/>
      <c r="H87" s="19"/>
      <c r="I87" s="3">
        <v>1037100</v>
      </c>
      <c r="J87" t="s">
        <v>137</v>
      </c>
      <c r="K87" s="8">
        <v>-0.43290207713565448</v>
      </c>
      <c r="L87" s="9">
        <v>0.43290207713565448</v>
      </c>
      <c r="M87">
        <v>0</v>
      </c>
      <c r="P87" s="28" t="s">
        <v>539</v>
      </c>
    </row>
    <row r="88" spans="1:17" ht="15.75" thickTop="1" thickBot="1" x14ac:dyDescent="0.25">
      <c r="A88" t="s">
        <v>122</v>
      </c>
      <c r="B88" t="s">
        <v>138</v>
      </c>
      <c r="C88" t="s">
        <v>12</v>
      </c>
      <c r="D88" t="s">
        <v>15</v>
      </c>
      <c r="E88" s="5">
        <v>23.10000038146973</v>
      </c>
      <c r="F88" s="8"/>
      <c r="G88" s="23">
        <f>E88-E77</f>
        <v>0.20000076293946023</v>
      </c>
      <c r="H88" s="19">
        <f>E88-E85</f>
        <v>0.20000076293946023</v>
      </c>
      <c r="I88">
        <v>0</v>
      </c>
      <c r="J88" t="s">
        <v>43</v>
      </c>
      <c r="K88" s="9">
        <v>0.86579589735095697</v>
      </c>
      <c r="L88" s="9">
        <v>0.43290207713565448</v>
      </c>
      <c r="M88" s="8">
        <v>-0.43290207713565448</v>
      </c>
      <c r="P88" s="16" t="s">
        <v>521</v>
      </c>
      <c r="Q88" s="28" t="s">
        <v>540</v>
      </c>
    </row>
    <row r="89" spans="1:17" ht="15" thickTop="1" x14ac:dyDescent="0.2">
      <c r="A89" t="s">
        <v>122</v>
      </c>
      <c r="B89" t="s">
        <v>139</v>
      </c>
      <c r="C89" t="s">
        <v>12</v>
      </c>
      <c r="D89" t="s">
        <v>13</v>
      </c>
      <c r="E89">
        <v>23</v>
      </c>
      <c r="I89" s="3">
        <v>778100</v>
      </c>
      <c r="J89" t="s">
        <v>140</v>
      </c>
      <c r="K89">
        <v>0.86956853451936145</v>
      </c>
      <c r="L89">
        <v>0.86956853451936145</v>
      </c>
      <c r="M89">
        <v>0.43478426725968072</v>
      </c>
    </row>
    <row r="90" spans="1:17" x14ac:dyDescent="0.2">
      <c r="A90" s="2" t="s">
        <v>122</v>
      </c>
      <c r="B90" s="2" t="s">
        <v>139</v>
      </c>
      <c r="C90" s="2" t="s">
        <v>12</v>
      </c>
      <c r="D90" s="2" t="s">
        <v>15</v>
      </c>
      <c r="E90" s="2">
        <v>23</v>
      </c>
      <c r="F90" s="2"/>
      <c r="G90" s="20"/>
      <c r="H90" s="20"/>
      <c r="I90" s="4">
        <v>778100</v>
      </c>
      <c r="J90" s="2" t="s">
        <v>43</v>
      </c>
      <c r="K90" s="2">
        <v>0.86956853451936145</v>
      </c>
      <c r="L90" s="2">
        <v>0.86956853451936145</v>
      </c>
      <c r="M90" s="2">
        <v>0.43478426725968072</v>
      </c>
    </row>
    <row r="91" spans="1:17" x14ac:dyDescent="0.2">
      <c r="A91" t="s">
        <v>141</v>
      </c>
      <c r="B91" t="s">
        <v>142</v>
      </c>
      <c r="C91" t="s">
        <v>12</v>
      </c>
      <c r="D91" t="s">
        <v>15</v>
      </c>
      <c r="E91">
        <v>23.29999923706055</v>
      </c>
      <c r="I91">
        <v>0</v>
      </c>
      <c r="J91" t="s">
        <v>143</v>
      </c>
      <c r="K91">
        <v>-0.42917801457279892</v>
      </c>
      <c r="L91">
        <v>-0.42917801457279892</v>
      </c>
      <c r="M91">
        <v>-1.287550415810202</v>
      </c>
      <c r="N91" s="15">
        <f>E91-E77</f>
        <v>0.39999961853028054</v>
      </c>
    </row>
    <row r="92" spans="1:17" x14ac:dyDescent="0.2">
      <c r="A92" t="s">
        <v>141</v>
      </c>
      <c r="B92" t="s">
        <v>144</v>
      </c>
      <c r="C92" t="s">
        <v>12</v>
      </c>
      <c r="D92" t="s">
        <v>15</v>
      </c>
      <c r="E92">
        <v>23.20000076293945</v>
      </c>
      <c r="I92">
        <v>169037</v>
      </c>
      <c r="J92" t="s">
        <v>16</v>
      </c>
      <c r="K92">
        <v>0</v>
      </c>
      <c r="L92">
        <v>-0.43103611284992238</v>
      </c>
      <c r="M92">
        <v>0</v>
      </c>
    </row>
    <row r="93" spans="1:17" x14ac:dyDescent="0.2">
      <c r="A93" t="s">
        <v>141</v>
      </c>
      <c r="B93" t="s">
        <v>145</v>
      </c>
      <c r="C93" t="s">
        <v>12</v>
      </c>
      <c r="D93" t="s">
        <v>15</v>
      </c>
      <c r="E93">
        <v>23</v>
      </c>
      <c r="H93" s="22">
        <f>E93-E88</f>
        <v>-0.10000038146973012</v>
      </c>
      <c r="I93">
        <v>336400</v>
      </c>
      <c r="J93" t="s">
        <v>25</v>
      </c>
      <c r="K93">
        <v>0</v>
      </c>
      <c r="L93">
        <v>1.304344508958899</v>
      </c>
      <c r="M93">
        <v>0</v>
      </c>
      <c r="O93" s="15">
        <f>E93-E85</f>
        <v>0.10000038146973012</v>
      </c>
    </row>
    <row r="94" spans="1:17" x14ac:dyDescent="0.2">
      <c r="A94" t="s">
        <v>141</v>
      </c>
      <c r="B94" t="s">
        <v>146</v>
      </c>
      <c r="C94" t="s">
        <v>12</v>
      </c>
      <c r="D94" t="s">
        <v>13</v>
      </c>
      <c r="E94" s="5">
        <v>23.39999961853027</v>
      </c>
      <c r="F94" s="9"/>
      <c r="G94" s="23"/>
      <c r="I94" s="3">
        <v>747805</v>
      </c>
      <c r="J94" t="s">
        <v>147</v>
      </c>
      <c r="K94">
        <v>-0.42735206452968078</v>
      </c>
      <c r="L94">
        <v>-0.85469597799669539</v>
      </c>
      <c r="M94">
        <v>-1.2820480425263761</v>
      </c>
    </row>
    <row r="95" spans="1:17" x14ac:dyDescent="0.2">
      <c r="A95" t="s">
        <v>141</v>
      </c>
      <c r="B95" t="s">
        <v>146</v>
      </c>
      <c r="C95" t="s">
        <v>12</v>
      </c>
      <c r="D95" t="s">
        <v>15</v>
      </c>
      <c r="E95" s="5">
        <v>23.39999961853027</v>
      </c>
      <c r="F95" s="9"/>
      <c r="G95" s="23">
        <f>E95-E88</f>
        <v>0.29999923706053977</v>
      </c>
      <c r="I95" s="3">
        <v>747805</v>
      </c>
      <c r="J95" t="s">
        <v>148</v>
      </c>
      <c r="K95">
        <v>-0.42735206452968078</v>
      </c>
      <c r="L95">
        <v>-0.85469597799669539</v>
      </c>
      <c r="M95">
        <v>-1.2820480425263761</v>
      </c>
      <c r="N95" s="15">
        <f>E95-E91</f>
        <v>0.10000038146971946</v>
      </c>
    </row>
    <row r="96" spans="1:17" x14ac:dyDescent="0.2">
      <c r="A96" t="s">
        <v>141</v>
      </c>
      <c r="B96" t="s">
        <v>149</v>
      </c>
      <c r="C96" t="s">
        <v>12</v>
      </c>
      <c r="D96" t="s">
        <v>13</v>
      </c>
      <c r="E96">
        <v>22.89999961853027</v>
      </c>
      <c r="I96" s="3">
        <v>467229</v>
      </c>
      <c r="J96" t="s">
        <v>150</v>
      </c>
      <c r="K96">
        <v>-0.87335746254329527</v>
      </c>
      <c r="L96">
        <v>-0.87335746254329527</v>
      </c>
      <c r="M96">
        <v>-0.87335746254329527</v>
      </c>
    </row>
    <row r="97" spans="1:16" ht="15" thickBot="1" x14ac:dyDescent="0.25">
      <c r="A97" t="s">
        <v>141</v>
      </c>
      <c r="B97" t="s">
        <v>149</v>
      </c>
      <c r="C97" t="s">
        <v>12</v>
      </c>
      <c r="D97" t="s">
        <v>19</v>
      </c>
      <c r="E97">
        <v>22.89999961853027</v>
      </c>
      <c r="I97" s="3">
        <v>467229</v>
      </c>
      <c r="J97" t="s">
        <v>20</v>
      </c>
      <c r="K97">
        <v>-0.87335746254329527</v>
      </c>
      <c r="L97">
        <v>-0.87335746254329527</v>
      </c>
      <c r="M97">
        <v>-0.87335746254329527</v>
      </c>
    </row>
    <row r="98" spans="1:16" ht="15.75" thickTop="1" thickBot="1" x14ac:dyDescent="0.25">
      <c r="A98" t="s">
        <v>141</v>
      </c>
      <c r="B98" t="s">
        <v>151</v>
      </c>
      <c r="C98" t="s">
        <v>12</v>
      </c>
      <c r="D98" t="s">
        <v>13</v>
      </c>
      <c r="E98">
        <v>22.79999923706055</v>
      </c>
      <c r="H98" s="22"/>
      <c r="I98" s="3">
        <v>448500</v>
      </c>
      <c r="J98" t="s">
        <v>152</v>
      </c>
      <c r="K98">
        <v>-0.43858981345293191</v>
      </c>
      <c r="L98">
        <v>-0.43858981345293191</v>
      </c>
      <c r="M98">
        <v>-1.3157861714877139</v>
      </c>
      <c r="N98" s="16">
        <f>E98-E95</f>
        <v>-0.60000038146971946</v>
      </c>
    </row>
    <row r="99" spans="1:16" ht="15" thickTop="1" x14ac:dyDescent="0.2">
      <c r="A99" t="s">
        <v>141</v>
      </c>
      <c r="B99" t="s">
        <v>151</v>
      </c>
      <c r="C99" t="s">
        <v>12</v>
      </c>
      <c r="D99" t="s">
        <v>19</v>
      </c>
      <c r="E99">
        <v>22.79999923706055</v>
      </c>
      <c r="H99" s="22">
        <f>E99-E93</f>
        <v>-0.20000076293944957</v>
      </c>
      <c r="I99" s="3">
        <v>448500</v>
      </c>
      <c r="J99" t="s">
        <v>20</v>
      </c>
      <c r="K99">
        <v>-0.43858981345293191</v>
      </c>
      <c r="L99">
        <v>-0.43858981345293191</v>
      </c>
      <c r="M99">
        <v>-1.3157861714877139</v>
      </c>
    </row>
    <row r="100" spans="1:16" ht="15" thickBot="1" x14ac:dyDescent="0.25">
      <c r="A100" t="s">
        <v>141</v>
      </c>
      <c r="B100" t="s">
        <v>153</v>
      </c>
      <c r="C100" t="s">
        <v>12</v>
      </c>
      <c r="D100" t="s">
        <v>13</v>
      </c>
      <c r="E100">
        <v>22.70000076293945</v>
      </c>
      <c r="H100" s="22"/>
      <c r="I100">
        <v>1056744</v>
      </c>
      <c r="J100" t="s">
        <v>154</v>
      </c>
      <c r="K100">
        <v>0</v>
      </c>
      <c r="L100">
        <v>0</v>
      </c>
      <c r="M100">
        <v>-1.762121200154134</v>
      </c>
    </row>
    <row r="101" spans="1:16" ht="15.75" thickTop="1" thickBot="1" x14ac:dyDescent="0.25">
      <c r="A101" t="s">
        <v>141</v>
      </c>
      <c r="B101" t="s">
        <v>155</v>
      </c>
      <c r="C101" t="s">
        <v>12</v>
      </c>
      <c r="D101" t="s">
        <v>15</v>
      </c>
      <c r="E101">
        <v>22.70000076293945</v>
      </c>
      <c r="H101" s="22">
        <f>E101-E98</f>
        <v>-9.9998474121100855E-2</v>
      </c>
      <c r="I101">
        <v>362412</v>
      </c>
      <c r="J101" t="s">
        <v>156</v>
      </c>
      <c r="K101">
        <v>0</v>
      </c>
      <c r="L101">
        <v>0</v>
      </c>
      <c r="M101">
        <v>-2.2026430977760652</v>
      </c>
      <c r="N101" s="16">
        <f>E101-E95</f>
        <v>-0.69999885559082031</v>
      </c>
    </row>
    <row r="102" spans="1:16" ht="15.75" thickTop="1" thickBot="1" x14ac:dyDescent="0.25">
      <c r="A102" t="s">
        <v>141</v>
      </c>
      <c r="B102" t="s">
        <v>157</v>
      </c>
      <c r="C102" t="s">
        <v>12</v>
      </c>
      <c r="D102" t="s">
        <v>13</v>
      </c>
      <c r="E102" s="6">
        <v>22.60000038146973</v>
      </c>
      <c r="F102" s="8"/>
      <c r="H102" s="22"/>
      <c r="I102" s="3">
        <v>1033200</v>
      </c>
      <c r="J102" t="s">
        <v>158</v>
      </c>
      <c r="K102">
        <v>-0.44247955655664162</v>
      </c>
      <c r="L102">
        <v>-1.769909786630989</v>
      </c>
      <c r="M102">
        <v>-1.769909786630989</v>
      </c>
      <c r="P102" s="27" t="s">
        <v>522</v>
      </c>
    </row>
    <row r="103" spans="1:16" ht="15.75" thickTop="1" thickBot="1" x14ac:dyDescent="0.25">
      <c r="A103" s="2" t="s">
        <v>141</v>
      </c>
      <c r="B103" s="2" t="s">
        <v>157</v>
      </c>
      <c r="C103" s="2" t="s">
        <v>12</v>
      </c>
      <c r="D103" s="2" t="s">
        <v>19</v>
      </c>
      <c r="E103" s="7">
        <v>22.60000038146973</v>
      </c>
      <c r="F103" s="13"/>
      <c r="G103" s="20"/>
      <c r="H103" s="25">
        <f>E103-E101</f>
        <v>-0.10000038146971946</v>
      </c>
      <c r="I103" s="4">
        <v>1033200</v>
      </c>
      <c r="J103" s="2" t="s">
        <v>20</v>
      </c>
      <c r="K103" s="2">
        <v>-0.44247955655664162</v>
      </c>
      <c r="L103" s="2">
        <v>-1.769909786630989</v>
      </c>
      <c r="M103" s="2">
        <v>-1.769909786630989</v>
      </c>
      <c r="N103" s="16">
        <f>E103-E93</f>
        <v>-0.39999961853026988</v>
      </c>
      <c r="P103" s="27" t="s">
        <v>522</v>
      </c>
    </row>
    <row r="104" spans="1:16" ht="15" thickTop="1" x14ac:dyDescent="0.2">
      <c r="A104" t="s">
        <v>159</v>
      </c>
      <c r="B104" t="s">
        <v>160</v>
      </c>
      <c r="C104" t="s">
        <v>12</v>
      </c>
      <c r="D104" t="s">
        <v>15</v>
      </c>
      <c r="E104">
        <v>22.29999923706055</v>
      </c>
      <c r="G104" s="24">
        <f>E104-E95</f>
        <v>-1.1000003814697195</v>
      </c>
      <c r="H104" s="22">
        <f>E104-E103</f>
        <v>-0.30000114440917969</v>
      </c>
      <c r="I104">
        <v>0</v>
      </c>
      <c r="J104" t="s">
        <v>161</v>
      </c>
      <c r="K104" s="8">
        <v>-0.44842366610894541</v>
      </c>
      <c r="L104" s="8">
        <v>-0.44842366610894541</v>
      </c>
      <c r="M104" s="9">
        <v>0.44843221924212062</v>
      </c>
      <c r="P104" s="28" t="s">
        <v>539</v>
      </c>
    </row>
    <row r="105" spans="1:16" x14ac:dyDescent="0.2">
      <c r="A105" t="s">
        <v>159</v>
      </c>
      <c r="B105" t="s">
        <v>162</v>
      </c>
      <c r="C105" t="s">
        <v>12</v>
      </c>
      <c r="D105" t="s">
        <v>15</v>
      </c>
      <c r="E105" s="6">
        <v>22.20000076293945</v>
      </c>
      <c r="F105" s="8"/>
      <c r="H105" s="22">
        <f>E105-E104</f>
        <v>-9.9998474121100855E-2</v>
      </c>
      <c r="I105">
        <v>469400</v>
      </c>
      <c r="J105" t="s">
        <v>23</v>
      </c>
      <c r="K105">
        <v>0</v>
      </c>
      <c r="L105">
        <v>0.45044356164181132</v>
      </c>
      <c r="M105">
        <v>0</v>
      </c>
    </row>
    <row r="106" spans="1:16" x14ac:dyDescent="0.2">
      <c r="A106" t="s">
        <v>159</v>
      </c>
      <c r="B106" t="s">
        <v>163</v>
      </c>
      <c r="C106" t="s">
        <v>12</v>
      </c>
      <c r="D106" t="s">
        <v>13</v>
      </c>
      <c r="E106">
        <v>22.5</v>
      </c>
      <c r="I106" s="3">
        <v>781371</v>
      </c>
      <c r="J106" t="s">
        <v>164</v>
      </c>
      <c r="K106">
        <v>-0.4444461398654514</v>
      </c>
      <c r="L106">
        <v>-0.4444461398654514</v>
      </c>
      <c r="M106">
        <v>-0.4444461398654514</v>
      </c>
    </row>
    <row r="107" spans="1:16" x14ac:dyDescent="0.2">
      <c r="A107" t="s">
        <v>159</v>
      </c>
      <c r="B107" t="s">
        <v>163</v>
      </c>
      <c r="C107" t="s">
        <v>12</v>
      </c>
      <c r="D107" t="s">
        <v>19</v>
      </c>
      <c r="E107">
        <v>22.5</v>
      </c>
      <c r="I107" s="3">
        <v>781371</v>
      </c>
      <c r="J107" t="s">
        <v>20</v>
      </c>
      <c r="K107">
        <v>-0.4444461398654514</v>
      </c>
      <c r="L107">
        <v>-0.4444461398654514</v>
      </c>
      <c r="M107">
        <v>-0.4444461398654514</v>
      </c>
    </row>
    <row r="108" spans="1:16" x14ac:dyDescent="0.2">
      <c r="A108" t="s">
        <v>159</v>
      </c>
      <c r="B108" t="s">
        <v>165</v>
      </c>
      <c r="C108" t="s">
        <v>12</v>
      </c>
      <c r="D108" t="s">
        <v>13</v>
      </c>
      <c r="E108">
        <v>22.39999961853027</v>
      </c>
      <c r="I108" s="3">
        <v>628128</v>
      </c>
      <c r="J108" t="s">
        <v>166</v>
      </c>
      <c r="K108">
        <v>0</v>
      </c>
      <c r="L108">
        <v>0</v>
      </c>
      <c r="M108">
        <v>0.44643028202108448</v>
      </c>
    </row>
    <row r="109" spans="1:16" x14ac:dyDescent="0.2">
      <c r="A109" t="s">
        <v>159</v>
      </c>
      <c r="B109" t="s">
        <v>165</v>
      </c>
      <c r="C109" t="s">
        <v>12</v>
      </c>
      <c r="D109" t="s">
        <v>19</v>
      </c>
      <c r="E109">
        <v>22.39999961853027</v>
      </c>
      <c r="I109" s="3">
        <v>628128</v>
      </c>
      <c r="J109" t="s">
        <v>20</v>
      </c>
      <c r="K109">
        <v>0</v>
      </c>
      <c r="L109">
        <v>0</v>
      </c>
      <c r="M109">
        <v>0.44643028202108448</v>
      </c>
    </row>
    <row r="110" spans="1:16" x14ac:dyDescent="0.2">
      <c r="A110" t="s">
        <v>159</v>
      </c>
      <c r="B110" t="s">
        <v>167</v>
      </c>
      <c r="C110" t="s">
        <v>12</v>
      </c>
      <c r="D110" t="s">
        <v>13</v>
      </c>
      <c r="E110">
        <v>22.5</v>
      </c>
      <c r="I110">
        <v>1195200</v>
      </c>
      <c r="J110" t="s">
        <v>168</v>
      </c>
      <c r="K110">
        <v>0</v>
      </c>
      <c r="L110">
        <v>0.4444461398654514</v>
      </c>
      <c r="M110">
        <v>0.88889227973090279</v>
      </c>
    </row>
    <row r="111" spans="1:16" x14ac:dyDescent="0.2">
      <c r="A111" t="s">
        <v>159</v>
      </c>
      <c r="B111" t="s">
        <v>169</v>
      </c>
      <c r="C111" t="s">
        <v>12</v>
      </c>
      <c r="D111" t="s">
        <v>15</v>
      </c>
      <c r="E111">
        <v>22.60000038146973</v>
      </c>
      <c r="I111">
        <v>46800</v>
      </c>
      <c r="J111" t="s">
        <v>43</v>
      </c>
      <c r="K111">
        <v>0.44247955655664162</v>
      </c>
      <c r="L111">
        <v>0.88495067351770529</v>
      </c>
      <c r="M111">
        <v>0</v>
      </c>
    </row>
    <row r="112" spans="1:16" x14ac:dyDescent="0.2">
      <c r="A112" t="s">
        <v>159</v>
      </c>
      <c r="B112" t="s">
        <v>170</v>
      </c>
      <c r="C112" t="s">
        <v>12</v>
      </c>
      <c r="D112" t="s">
        <v>13</v>
      </c>
      <c r="E112">
        <v>22.70000076293945</v>
      </c>
      <c r="I112" s="3">
        <v>449868</v>
      </c>
      <c r="J112" t="s">
        <v>171</v>
      </c>
      <c r="K112">
        <v>-0.4405303000385335</v>
      </c>
      <c r="L112">
        <v>0</v>
      </c>
      <c r="M112">
        <v>-0.4405303000385335</v>
      </c>
    </row>
    <row r="113" spans="1:16" x14ac:dyDescent="0.2">
      <c r="A113" t="s">
        <v>159</v>
      </c>
      <c r="B113" t="s">
        <v>170</v>
      </c>
      <c r="C113" t="s">
        <v>12</v>
      </c>
      <c r="D113" t="s">
        <v>15</v>
      </c>
      <c r="E113">
        <v>22.70000076293945</v>
      </c>
      <c r="I113" s="3">
        <v>449868</v>
      </c>
      <c r="J113" t="s">
        <v>43</v>
      </c>
      <c r="K113">
        <v>-0.4405303000385335</v>
      </c>
      <c r="L113">
        <v>0</v>
      </c>
      <c r="M113">
        <v>-0.4405303000385335</v>
      </c>
    </row>
    <row r="114" spans="1:16" x14ac:dyDescent="0.2">
      <c r="A114" t="s">
        <v>159</v>
      </c>
      <c r="B114" t="s">
        <v>172</v>
      </c>
      <c r="C114" t="s">
        <v>12</v>
      </c>
      <c r="D114" t="s">
        <v>13</v>
      </c>
      <c r="E114" s="5">
        <v>22.79999923706055</v>
      </c>
      <c r="F114" s="8"/>
      <c r="G114" s="23"/>
      <c r="I114" s="3">
        <v>863111</v>
      </c>
      <c r="J114" t="s">
        <v>173</v>
      </c>
      <c r="K114">
        <v>-0.43858981345293191</v>
      </c>
      <c r="L114">
        <v>-0.43858981345293191</v>
      </c>
      <c r="M114">
        <v>-0.87718799247032275</v>
      </c>
    </row>
    <row r="115" spans="1:16" x14ac:dyDescent="0.2">
      <c r="A115" s="2" t="s">
        <v>159</v>
      </c>
      <c r="B115" s="2" t="s">
        <v>172</v>
      </c>
      <c r="C115" s="2" t="s">
        <v>12</v>
      </c>
      <c r="D115" s="2" t="s">
        <v>15</v>
      </c>
      <c r="E115" s="11">
        <v>22.79999923706055</v>
      </c>
      <c r="F115" s="13"/>
      <c r="G115" s="29">
        <f>E115-E104</f>
        <v>0.5</v>
      </c>
      <c r="H115" s="20"/>
      <c r="I115" s="4">
        <v>863111</v>
      </c>
      <c r="J115" s="2" t="s">
        <v>49</v>
      </c>
      <c r="K115" s="2">
        <v>-0.43858981345293191</v>
      </c>
      <c r="L115" s="2">
        <v>-0.43858981345293191</v>
      </c>
      <c r="M115" s="2">
        <v>-0.87718799247032275</v>
      </c>
    </row>
    <row r="116" spans="1:16" x14ac:dyDescent="0.2">
      <c r="A116" t="s">
        <v>174</v>
      </c>
      <c r="B116" t="s">
        <v>175</v>
      </c>
      <c r="C116" t="s">
        <v>12</v>
      </c>
      <c r="D116" t="s">
        <v>15</v>
      </c>
      <c r="E116" s="5">
        <v>22.79999923706055</v>
      </c>
      <c r="F116" s="8"/>
      <c r="G116" s="23">
        <f>E116-E115</f>
        <v>0</v>
      </c>
      <c r="I116">
        <v>0</v>
      </c>
      <c r="J116" t="s">
        <v>176</v>
      </c>
      <c r="K116">
        <v>-0.43858981345293191</v>
      </c>
      <c r="L116">
        <v>-0.87718799247032275</v>
      </c>
      <c r="M116">
        <v>-0.43858981345293191</v>
      </c>
    </row>
    <row r="117" spans="1:16" x14ac:dyDescent="0.2">
      <c r="A117" t="s">
        <v>174</v>
      </c>
      <c r="B117" t="s">
        <v>177</v>
      </c>
      <c r="C117" t="s">
        <v>12</v>
      </c>
      <c r="D117" t="s">
        <v>15</v>
      </c>
      <c r="E117">
        <v>22.70000076293945</v>
      </c>
      <c r="I117">
        <v>217419</v>
      </c>
      <c r="J117" t="s">
        <v>66</v>
      </c>
      <c r="K117">
        <v>-0.4405303000385335</v>
      </c>
      <c r="L117">
        <v>-0.4405303000385335</v>
      </c>
      <c r="M117">
        <v>0</v>
      </c>
    </row>
    <row r="118" spans="1:16" x14ac:dyDescent="0.2">
      <c r="A118" t="s">
        <v>174</v>
      </c>
      <c r="B118" t="s">
        <v>178</v>
      </c>
      <c r="C118" t="s">
        <v>12</v>
      </c>
      <c r="D118" t="s">
        <v>15</v>
      </c>
      <c r="E118">
        <v>22.5</v>
      </c>
      <c r="I118">
        <v>412800</v>
      </c>
      <c r="J118" t="s">
        <v>66</v>
      </c>
      <c r="K118">
        <v>0.4444461398654514</v>
      </c>
      <c r="L118">
        <v>0.4444461398654514</v>
      </c>
      <c r="M118">
        <v>0.88889227973090279</v>
      </c>
    </row>
    <row r="119" spans="1:16" x14ac:dyDescent="0.2">
      <c r="A119" t="s">
        <v>174</v>
      </c>
      <c r="B119" t="s">
        <v>179</v>
      </c>
      <c r="C119" t="s">
        <v>12</v>
      </c>
      <c r="D119" t="s">
        <v>13</v>
      </c>
      <c r="E119">
        <v>22.70000076293945</v>
      </c>
      <c r="G119" s="24"/>
      <c r="H119" s="19"/>
      <c r="I119" s="3">
        <v>1881616</v>
      </c>
      <c r="J119" t="s">
        <v>180</v>
      </c>
      <c r="K119" s="8">
        <v>-0.88106060007706699</v>
      </c>
      <c r="L119" s="9">
        <v>0.44052189762193128</v>
      </c>
      <c r="M119" s="9">
        <v>0.44052189762193128</v>
      </c>
      <c r="P119" s="28" t="s">
        <v>539</v>
      </c>
    </row>
    <row r="120" spans="1:16" ht="15" thickBot="1" x14ac:dyDescent="0.25">
      <c r="A120" t="s">
        <v>174</v>
      </c>
      <c r="B120" t="s">
        <v>179</v>
      </c>
      <c r="C120" t="s">
        <v>12</v>
      </c>
      <c r="D120" t="s">
        <v>19</v>
      </c>
      <c r="E120">
        <v>22.70000076293945</v>
      </c>
      <c r="G120" s="24">
        <f>E120-E116</f>
        <v>-9.9998474121100855E-2</v>
      </c>
      <c r="H120" s="19">
        <f>E120-E105</f>
        <v>0.5</v>
      </c>
      <c r="I120" s="3">
        <v>1881616</v>
      </c>
      <c r="J120" t="s">
        <v>20</v>
      </c>
      <c r="K120" s="8">
        <v>-0.88106060007706699</v>
      </c>
      <c r="L120" s="9">
        <v>0.44052189762193128</v>
      </c>
      <c r="M120" s="9">
        <v>0.44052189762193128</v>
      </c>
      <c r="P120" s="28" t="s">
        <v>539</v>
      </c>
    </row>
    <row r="121" spans="1:16" ht="15.75" thickTop="1" thickBot="1" x14ac:dyDescent="0.25">
      <c r="A121" t="s">
        <v>174</v>
      </c>
      <c r="B121" t="s">
        <v>181</v>
      </c>
      <c r="C121" t="s">
        <v>12</v>
      </c>
      <c r="D121" t="s">
        <v>13</v>
      </c>
      <c r="E121">
        <v>22.5</v>
      </c>
      <c r="H121" s="22"/>
      <c r="I121" s="3">
        <v>775400</v>
      </c>
      <c r="J121" t="s">
        <v>182</v>
      </c>
      <c r="K121">
        <v>1.333329942491319</v>
      </c>
      <c r="L121">
        <v>1.333329942491319</v>
      </c>
      <c r="M121">
        <v>0.88889227973090279</v>
      </c>
      <c r="O121" s="16">
        <f>E121-E93</f>
        <v>-0.5</v>
      </c>
    </row>
    <row r="122" spans="1:16" ht="15.75" thickTop="1" thickBot="1" x14ac:dyDescent="0.25">
      <c r="A122" t="s">
        <v>174</v>
      </c>
      <c r="B122" t="s">
        <v>181</v>
      </c>
      <c r="C122" t="s">
        <v>12</v>
      </c>
      <c r="D122" t="s">
        <v>15</v>
      </c>
      <c r="E122">
        <v>22.5</v>
      </c>
      <c r="H122" s="22">
        <f>E122-E120</f>
        <v>-0.20000076293944957</v>
      </c>
      <c r="I122" s="3">
        <v>775400</v>
      </c>
      <c r="J122" t="s">
        <v>148</v>
      </c>
      <c r="K122">
        <v>1.333329942491319</v>
      </c>
      <c r="L122">
        <v>1.333329942491319</v>
      </c>
      <c r="M122">
        <v>0.88889227973090279</v>
      </c>
    </row>
    <row r="123" spans="1:16" ht="15.75" thickTop="1" thickBot="1" x14ac:dyDescent="0.25">
      <c r="A123" s="2" t="s">
        <v>174</v>
      </c>
      <c r="B123" s="2" t="s">
        <v>183</v>
      </c>
      <c r="C123" s="2" t="s">
        <v>12</v>
      </c>
      <c r="D123" s="2" t="s">
        <v>15</v>
      </c>
      <c r="E123" s="7">
        <v>22.39999961853027</v>
      </c>
      <c r="F123" s="12"/>
      <c r="G123" s="20"/>
      <c r="H123" s="25">
        <f>E123-E122</f>
        <v>-0.10000038146973012</v>
      </c>
      <c r="I123" s="2">
        <v>1051180</v>
      </c>
      <c r="J123" s="2" t="s">
        <v>184</v>
      </c>
      <c r="K123" s="2">
        <v>0.89286056404216907</v>
      </c>
      <c r="L123" s="2">
        <v>2.232142895156024</v>
      </c>
      <c r="M123" s="2">
        <v>4.4642857903120481</v>
      </c>
      <c r="O123" s="16">
        <f>E123-E93</f>
        <v>-0.60000038146973012</v>
      </c>
    </row>
    <row r="124" spans="1:16" ht="15.75" thickTop="1" thickBot="1" x14ac:dyDescent="0.25">
      <c r="A124" t="s">
        <v>185</v>
      </c>
      <c r="B124" t="s">
        <v>186</v>
      </c>
      <c r="C124" t="s">
        <v>12</v>
      </c>
      <c r="D124" t="s">
        <v>13</v>
      </c>
      <c r="E124" s="6">
        <v>22.60000038146973</v>
      </c>
      <c r="F124" s="9"/>
      <c r="H124" s="19">
        <f>E124-E123</f>
        <v>0.20000076293946023</v>
      </c>
      <c r="I124" s="3">
        <v>1803401</v>
      </c>
      <c r="J124" t="s">
        <v>187</v>
      </c>
      <c r="K124">
        <v>1.327430230074347</v>
      </c>
      <c r="L124">
        <v>2.654868899744272</v>
      </c>
      <c r="M124">
        <v>3.0973400167053362</v>
      </c>
    </row>
    <row r="125" spans="1:16" ht="15.75" thickTop="1" thickBot="1" x14ac:dyDescent="0.25">
      <c r="A125" t="s">
        <v>185</v>
      </c>
      <c r="B125" t="s">
        <v>186</v>
      </c>
      <c r="C125" t="s">
        <v>12</v>
      </c>
      <c r="D125" t="s">
        <v>15</v>
      </c>
      <c r="E125" s="6">
        <v>22.60000038146973</v>
      </c>
      <c r="F125" s="9"/>
      <c r="H125" s="19"/>
      <c r="I125" s="3">
        <v>1803401</v>
      </c>
      <c r="J125" t="s">
        <v>188</v>
      </c>
      <c r="K125">
        <v>1.327430230074347</v>
      </c>
      <c r="L125">
        <v>2.654868899744272</v>
      </c>
      <c r="M125">
        <v>3.0973400167053362</v>
      </c>
      <c r="O125" s="16">
        <f>E125-E93</f>
        <v>-0.39999961853026988</v>
      </c>
    </row>
    <row r="126" spans="1:16" ht="15.75" thickTop="1" thickBot="1" x14ac:dyDescent="0.25">
      <c r="A126" t="s">
        <v>185</v>
      </c>
      <c r="B126" t="s">
        <v>189</v>
      </c>
      <c r="C126" t="s">
        <v>12</v>
      </c>
      <c r="D126" t="s">
        <v>15</v>
      </c>
      <c r="E126">
        <v>22.79999923706055</v>
      </c>
      <c r="H126" s="19">
        <f>E126-E125</f>
        <v>0.19999885559082031</v>
      </c>
      <c r="I126">
        <v>965620</v>
      </c>
      <c r="J126" t="s">
        <v>109</v>
      </c>
      <c r="K126">
        <v>0.43859817901739079</v>
      </c>
      <c r="L126">
        <v>1.7543927160695629</v>
      </c>
      <c r="M126">
        <v>2.1929825295224949</v>
      </c>
      <c r="O126" s="16">
        <f>E126-E93</f>
        <v>-0.20000076293944957</v>
      </c>
    </row>
    <row r="127" spans="1:16" ht="15" thickTop="1" x14ac:dyDescent="0.2">
      <c r="A127" t="s">
        <v>185</v>
      </c>
      <c r="B127" t="s">
        <v>190</v>
      </c>
      <c r="C127" t="s">
        <v>12</v>
      </c>
      <c r="D127" t="s">
        <v>13</v>
      </c>
      <c r="E127">
        <v>23.10000038146973</v>
      </c>
      <c r="H127" s="19"/>
      <c r="I127" s="3">
        <v>1888247</v>
      </c>
      <c r="J127" t="s">
        <v>191</v>
      </c>
      <c r="K127">
        <v>1.2986979744866121</v>
      </c>
      <c r="L127">
        <v>0.43290207713565448</v>
      </c>
      <c r="M127">
        <v>0.43290207713565448</v>
      </c>
    </row>
    <row r="128" spans="1:16" x14ac:dyDescent="0.2">
      <c r="A128" t="s">
        <v>185</v>
      </c>
      <c r="B128" t="s">
        <v>190</v>
      </c>
      <c r="C128" t="s">
        <v>12</v>
      </c>
      <c r="D128" t="s">
        <v>15</v>
      </c>
      <c r="E128">
        <v>23.10000038146973</v>
      </c>
      <c r="H128" s="19">
        <f>E128-E126</f>
        <v>0.30000114440917969</v>
      </c>
      <c r="I128" s="3">
        <v>1888247</v>
      </c>
      <c r="J128" t="s">
        <v>109</v>
      </c>
      <c r="K128">
        <v>1.2986979744866121</v>
      </c>
      <c r="L128">
        <v>0.43290207713565448</v>
      </c>
      <c r="M128">
        <v>0.43290207713565448</v>
      </c>
      <c r="O128" s="15">
        <f>E128-E93</f>
        <v>0.10000038146973012</v>
      </c>
    </row>
    <row r="129" spans="1:16" x14ac:dyDescent="0.2">
      <c r="A129" t="s">
        <v>185</v>
      </c>
      <c r="B129" t="s">
        <v>192</v>
      </c>
      <c r="C129" t="s">
        <v>12</v>
      </c>
      <c r="D129" t="s">
        <v>13</v>
      </c>
      <c r="E129">
        <v>23.39999961853027</v>
      </c>
      <c r="I129">
        <v>2951628</v>
      </c>
      <c r="J129" t="s">
        <v>193</v>
      </c>
      <c r="K129">
        <v>-0.85469597799669539</v>
      </c>
      <c r="L129">
        <v>-0.42735206452968078</v>
      </c>
      <c r="M129">
        <v>-0.42735206452968078</v>
      </c>
    </row>
    <row r="130" spans="1:16" x14ac:dyDescent="0.2">
      <c r="A130" t="s">
        <v>185</v>
      </c>
      <c r="B130" t="s">
        <v>194</v>
      </c>
      <c r="C130" t="s">
        <v>12</v>
      </c>
      <c r="D130" t="s">
        <v>13</v>
      </c>
      <c r="E130" s="5">
        <v>23.79999923706055</v>
      </c>
      <c r="F130" s="9"/>
      <c r="G130" s="23"/>
      <c r="I130" s="3">
        <v>6237551</v>
      </c>
      <c r="J130" t="s">
        <v>195</v>
      </c>
      <c r="K130" s="10">
        <v>-0.8403313529497467</v>
      </c>
      <c r="L130" s="10">
        <v>-0.8403313529497467</v>
      </c>
      <c r="M130" s="10">
        <v>-0.8403313529497467</v>
      </c>
      <c r="P130" s="15" t="s">
        <v>523</v>
      </c>
    </row>
    <row r="131" spans="1:16" x14ac:dyDescent="0.2">
      <c r="A131" t="s">
        <v>185</v>
      </c>
      <c r="B131" t="s">
        <v>194</v>
      </c>
      <c r="C131" t="s">
        <v>12</v>
      </c>
      <c r="D131" t="s">
        <v>15</v>
      </c>
      <c r="E131" s="5">
        <v>23.79999923706055</v>
      </c>
      <c r="F131" s="9"/>
      <c r="G131" s="23">
        <f>E131-E120</f>
        <v>1.0999984741211009</v>
      </c>
      <c r="I131" s="3">
        <v>6237551</v>
      </c>
      <c r="J131" t="s">
        <v>196</v>
      </c>
      <c r="K131" s="10">
        <v>-0.8403313529497467</v>
      </c>
      <c r="L131" s="10">
        <v>-0.8403313529497467</v>
      </c>
      <c r="M131" s="10">
        <v>-0.8403313529497467</v>
      </c>
      <c r="P131" s="15" t="s">
        <v>523</v>
      </c>
    </row>
    <row r="132" spans="1:16" x14ac:dyDescent="0.2">
      <c r="A132" t="s">
        <v>185</v>
      </c>
      <c r="B132" t="s">
        <v>197</v>
      </c>
      <c r="C132" t="s">
        <v>12</v>
      </c>
      <c r="D132" t="s">
        <v>15</v>
      </c>
      <c r="E132">
        <v>23.39999961853027</v>
      </c>
      <c r="I132">
        <v>1169502</v>
      </c>
      <c r="J132" t="s">
        <v>121</v>
      </c>
      <c r="K132">
        <v>0.42735206452968078</v>
      </c>
      <c r="L132">
        <v>0</v>
      </c>
      <c r="M132">
        <v>0.42735206452968078</v>
      </c>
    </row>
    <row r="133" spans="1:16" x14ac:dyDescent="0.2">
      <c r="A133" t="s">
        <v>185</v>
      </c>
      <c r="B133" t="s">
        <v>198</v>
      </c>
      <c r="C133" t="s">
        <v>12</v>
      </c>
      <c r="D133" t="s">
        <v>13</v>
      </c>
      <c r="E133">
        <v>23.29999923706055</v>
      </c>
      <c r="I133" s="3">
        <v>1300004</v>
      </c>
      <c r="J133" t="s">
        <v>199</v>
      </c>
      <c r="K133">
        <v>0.42918620061870127</v>
      </c>
      <c r="L133">
        <v>0.42918620061870127</v>
      </c>
      <c r="M133">
        <v>0.85837240123740266</v>
      </c>
    </row>
    <row r="134" spans="1:16" x14ac:dyDescent="0.2">
      <c r="A134" t="s">
        <v>185</v>
      </c>
      <c r="B134" t="s">
        <v>198</v>
      </c>
      <c r="C134" t="s">
        <v>12</v>
      </c>
      <c r="D134" t="s">
        <v>19</v>
      </c>
      <c r="E134">
        <v>23.29999923706055</v>
      </c>
      <c r="I134" s="3">
        <v>1300004</v>
      </c>
      <c r="J134" t="s">
        <v>20</v>
      </c>
      <c r="K134">
        <v>0.42918620061870127</v>
      </c>
      <c r="L134">
        <v>0.42918620061870127</v>
      </c>
      <c r="M134">
        <v>0.85837240123740266</v>
      </c>
    </row>
    <row r="135" spans="1:16" x14ac:dyDescent="0.2">
      <c r="A135" t="s">
        <v>185</v>
      </c>
      <c r="B135" t="s">
        <v>200</v>
      </c>
      <c r="C135" t="s">
        <v>12</v>
      </c>
      <c r="D135" t="s">
        <v>13</v>
      </c>
      <c r="E135">
        <v>23.5</v>
      </c>
      <c r="I135" s="3">
        <v>1091640</v>
      </c>
      <c r="J135" t="s">
        <v>201</v>
      </c>
      <c r="K135">
        <v>0</v>
      </c>
      <c r="L135">
        <v>0</v>
      </c>
      <c r="M135">
        <v>0.42553353816904932</v>
      </c>
    </row>
    <row r="136" spans="1:16" x14ac:dyDescent="0.2">
      <c r="A136" s="2" t="s">
        <v>185</v>
      </c>
      <c r="B136" s="2" t="s">
        <v>200</v>
      </c>
      <c r="C136" s="2" t="s">
        <v>12</v>
      </c>
      <c r="D136" s="2" t="s">
        <v>19</v>
      </c>
      <c r="E136" s="2">
        <v>23.5</v>
      </c>
      <c r="F136" s="2"/>
      <c r="G136" s="20"/>
      <c r="H136" s="20"/>
      <c r="I136" s="4">
        <v>1091640</v>
      </c>
      <c r="J136" s="2" t="s">
        <v>20</v>
      </c>
      <c r="K136" s="2">
        <v>0</v>
      </c>
      <c r="L136" s="2">
        <v>0</v>
      </c>
      <c r="M136" s="2">
        <v>0.42553353816904932</v>
      </c>
    </row>
    <row r="137" spans="1:16" x14ac:dyDescent="0.2">
      <c r="A137" t="s">
        <v>202</v>
      </c>
      <c r="B137" t="s">
        <v>203</v>
      </c>
      <c r="C137" t="s">
        <v>12</v>
      </c>
      <c r="D137" t="s">
        <v>15</v>
      </c>
      <c r="E137">
        <v>23.5</v>
      </c>
      <c r="I137">
        <v>0</v>
      </c>
      <c r="J137" t="s">
        <v>204</v>
      </c>
      <c r="K137">
        <v>0</v>
      </c>
      <c r="L137">
        <v>0.85106707633809853</v>
      </c>
      <c r="M137">
        <v>0.42553353816904932</v>
      </c>
    </row>
    <row r="138" spans="1:16" x14ac:dyDescent="0.2">
      <c r="A138" t="s">
        <v>202</v>
      </c>
      <c r="B138" t="s">
        <v>205</v>
      </c>
      <c r="C138" t="s">
        <v>12</v>
      </c>
      <c r="D138" t="s">
        <v>15</v>
      </c>
      <c r="E138">
        <v>23.60000038146973</v>
      </c>
      <c r="I138">
        <v>369600</v>
      </c>
      <c r="J138" t="s">
        <v>25</v>
      </c>
      <c r="K138">
        <v>0</v>
      </c>
      <c r="L138">
        <v>0</v>
      </c>
      <c r="M138">
        <v>0</v>
      </c>
    </row>
    <row r="139" spans="1:16" x14ac:dyDescent="0.2">
      <c r="A139" t="s">
        <v>202</v>
      </c>
      <c r="B139" t="s">
        <v>206</v>
      </c>
      <c r="C139" t="s">
        <v>12</v>
      </c>
      <c r="D139" t="s">
        <v>13</v>
      </c>
      <c r="E139">
        <v>23.60000038146973</v>
      </c>
      <c r="I139" s="3">
        <v>441600</v>
      </c>
      <c r="J139" t="s">
        <v>207</v>
      </c>
      <c r="K139">
        <v>-0.42373042310730202</v>
      </c>
      <c r="L139">
        <v>-0.42373042310730202</v>
      </c>
      <c r="M139">
        <v>0</v>
      </c>
    </row>
    <row r="140" spans="1:16" x14ac:dyDescent="0.2">
      <c r="A140" t="s">
        <v>202</v>
      </c>
      <c r="B140" t="s">
        <v>206</v>
      </c>
      <c r="C140" t="s">
        <v>12</v>
      </c>
      <c r="D140" t="s">
        <v>19</v>
      </c>
      <c r="E140">
        <v>23.60000038146973</v>
      </c>
      <c r="I140" s="3">
        <v>441600</v>
      </c>
      <c r="J140" t="s">
        <v>20</v>
      </c>
      <c r="K140">
        <v>-0.42373042310730202</v>
      </c>
      <c r="L140">
        <v>-0.42373042310730202</v>
      </c>
      <c r="M140">
        <v>0</v>
      </c>
    </row>
    <row r="141" spans="1:16" x14ac:dyDescent="0.2">
      <c r="A141" t="s">
        <v>202</v>
      </c>
      <c r="B141" t="s">
        <v>208</v>
      </c>
      <c r="C141" t="s">
        <v>12</v>
      </c>
      <c r="D141" t="s">
        <v>13</v>
      </c>
      <c r="E141">
        <v>23.5</v>
      </c>
      <c r="I141" s="3">
        <v>364532</v>
      </c>
      <c r="J141" t="s">
        <v>209</v>
      </c>
      <c r="K141">
        <v>0.42553353816904932</v>
      </c>
      <c r="L141">
        <v>0.85106707633809853</v>
      </c>
      <c r="M141">
        <v>0.85106707633809853</v>
      </c>
    </row>
    <row r="142" spans="1:16" x14ac:dyDescent="0.2">
      <c r="A142" t="s">
        <v>202</v>
      </c>
      <c r="B142" t="s">
        <v>208</v>
      </c>
      <c r="C142" t="s">
        <v>12</v>
      </c>
      <c r="D142" t="s">
        <v>19</v>
      </c>
      <c r="E142">
        <v>23.5</v>
      </c>
      <c r="I142" s="3">
        <v>364532</v>
      </c>
      <c r="J142" t="s">
        <v>20</v>
      </c>
      <c r="K142">
        <v>0.42553353816904932</v>
      </c>
      <c r="L142">
        <v>0.85106707633809853</v>
      </c>
      <c r="M142">
        <v>0.85106707633809853</v>
      </c>
    </row>
    <row r="143" spans="1:16" x14ac:dyDescent="0.2">
      <c r="A143" t="s">
        <v>202</v>
      </c>
      <c r="B143" t="s">
        <v>210</v>
      </c>
      <c r="C143" t="s">
        <v>12</v>
      </c>
      <c r="D143" t="s">
        <v>15</v>
      </c>
      <c r="E143">
        <v>23.5</v>
      </c>
      <c r="I143">
        <v>251157</v>
      </c>
      <c r="J143" t="s">
        <v>16</v>
      </c>
      <c r="K143">
        <v>0.85106707633809853</v>
      </c>
      <c r="L143">
        <v>0.85106707633809853</v>
      </c>
      <c r="M143">
        <v>0.85106707633809853</v>
      </c>
    </row>
    <row r="144" spans="1:16" x14ac:dyDescent="0.2">
      <c r="A144" t="s">
        <v>202</v>
      </c>
      <c r="B144" t="s">
        <v>211</v>
      </c>
      <c r="C144" t="s">
        <v>12</v>
      </c>
      <c r="D144" t="s">
        <v>13</v>
      </c>
      <c r="E144">
        <v>23.60000038146973</v>
      </c>
      <c r="I144">
        <v>576000</v>
      </c>
      <c r="J144" t="s">
        <v>212</v>
      </c>
      <c r="K144">
        <v>0.42373042310730202</v>
      </c>
      <c r="L144">
        <v>0.42373042310730202</v>
      </c>
      <c r="M144">
        <v>0</v>
      </c>
    </row>
    <row r="145" spans="1:16" x14ac:dyDescent="0.2">
      <c r="A145" t="s">
        <v>202</v>
      </c>
      <c r="B145" t="s">
        <v>213</v>
      </c>
      <c r="C145" t="s">
        <v>12</v>
      </c>
      <c r="D145" t="s">
        <v>13</v>
      </c>
      <c r="E145" s="5">
        <v>23.70000076293945</v>
      </c>
      <c r="F145" s="8"/>
      <c r="G145" s="24"/>
      <c r="I145" s="3">
        <v>860762</v>
      </c>
      <c r="J145" t="s">
        <v>214</v>
      </c>
      <c r="K145">
        <v>0</v>
      </c>
      <c r="L145">
        <v>-0.42194252426396872</v>
      </c>
      <c r="M145">
        <v>0</v>
      </c>
    </row>
    <row r="146" spans="1:16" ht="15" thickBot="1" x14ac:dyDescent="0.25">
      <c r="A146" t="s">
        <v>202</v>
      </c>
      <c r="B146" t="s">
        <v>213</v>
      </c>
      <c r="C146" t="s">
        <v>12</v>
      </c>
      <c r="D146" t="s">
        <v>15</v>
      </c>
      <c r="E146" s="5">
        <v>23.70000076293945</v>
      </c>
      <c r="F146" s="8"/>
      <c r="G146" s="24">
        <f>E146-E131</f>
        <v>-9.9998474121100855E-2</v>
      </c>
      <c r="I146" s="3">
        <v>860762</v>
      </c>
      <c r="J146" t="s">
        <v>34</v>
      </c>
      <c r="K146">
        <v>0</v>
      </c>
      <c r="L146">
        <v>-0.42194252426396872</v>
      </c>
      <c r="M146">
        <v>0</v>
      </c>
    </row>
    <row r="147" spans="1:16" ht="15.75" thickTop="1" thickBot="1" x14ac:dyDescent="0.25">
      <c r="A147" t="s">
        <v>202</v>
      </c>
      <c r="B147" t="s">
        <v>215</v>
      </c>
      <c r="C147" t="s">
        <v>12</v>
      </c>
      <c r="D147" t="s">
        <v>13</v>
      </c>
      <c r="E147" s="6">
        <v>23.39999961853027</v>
      </c>
      <c r="F147" s="9"/>
      <c r="G147" s="24"/>
      <c r="I147" s="3">
        <v>743500</v>
      </c>
      <c r="J147" t="s">
        <v>216</v>
      </c>
      <c r="K147">
        <v>0</v>
      </c>
      <c r="L147">
        <v>0</v>
      </c>
      <c r="M147">
        <v>-2.136752171585738</v>
      </c>
      <c r="N147" s="15">
        <f>E147-E103</f>
        <v>0.79999923706053977</v>
      </c>
      <c r="P147" s="27" t="s">
        <v>522</v>
      </c>
    </row>
    <row r="148" spans="1:16" ht="15.75" thickTop="1" thickBot="1" x14ac:dyDescent="0.25">
      <c r="A148" t="s">
        <v>202</v>
      </c>
      <c r="B148" t="s">
        <v>215</v>
      </c>
      <c r="C148" t="s">
        <v>12</v>
      </c>
      <c r="D148" t="s">
        <v>15</v>
      </c>
      <c r="E148" s="6">
        <v>23.39999961853027</v>
      </c>
      <c r="F148" s="9"/>
      <c r="G148" s="24">
        <f>E148-E146</f>
        <v>-0.30000114440917969</v>
      </c>
      <c r="I148" s="3">
        <v>743500</v>
      </c>
      <c r="J148" t="s">
        <v>217</v>
      </c>
      <c r="K148">
        <v>0</v>
      </c>
      <c r="L148">
        <v>0</v>
      </c>
      <c r="M148">
        <v>-2.136752171585738</v>
      </c>
      <c r="P148" s="27" t="s">
        <v>522</v>
      </c>
    </row>
    <row r="149" spans="1:16" ht="15.75" thickTop="1" thickBot="1" x14ac:dyDescent="0.25">
      <c r="A149" t="s">
        <v>202</v>
      </c>
      <c r="B149" t="s">
        <v>218</v>
      </c>
      <c r="C149" t="s">
        <v>12</v>
      </c>
      <c r="D149" t="s">
        <v>13</v>
      </c>
      <c r="E149">
        <v>23.60000038146973</v>
      </c>
      <c r="G149" s="23">
        <f>E149-E148</f>
        <v>0.20000076293946023</v>
      </c>
      <c r="I149">
        <v>854800</v>
      </c>
      <c r="J149" t="s">
        <v>219</v>
      </c>
      <c r="K149">
        <v>-0.84746084621460405</v>
      </c>
      <c r="L149">
        <v>-0.84746084621460405</v>
      </c>
      <c r="M149">
        <v>-2.966104879765513</v>
      </c>
      <c r="N149" s="15">
        <f>E149-E103</f>
        <v>1</v>
      </c>
    </row>
    <row r="150" spans="1:16" ht="15.75" thickTop="1" thickBot="1" x14ac:dyDescent="0.25">
      <c r="A150" t="s">
        <v>202</v>
      </c>
      <c r="B150" t="s">
        <v>220</v>
      </c>
      <c r="C150" t="s">
        <v>12</v>
      </c>
      <c r="D150" t="s">
        <v>13</v>
      </c>
      <c r="E150" s="6">
        <v>23.39999961853027</v>
      </c>
      <c r="F150" s="9"/>
      <c r="G150" s="24"/>
      <c r="I150" s="3">
        <v>851600</v>
      </c>
      <c r="J150" t="s">
        <v>221</v>
      </c>
      <c r="K150">
        <v>-1.2820480425263761</v>
      </c>
      <c r="L150">
        <v>-2.136752171585738</v>
      </c>
      <c r="M150">
        <v>-1.7094001070560569</v>
      </c>
      <c r="P150" s="27" t="s">
        <v>522</v>
      </c>
    </row>
    <row r="151" spans="1:16" ht="15.75" thickTop="1" thickBot="1" x14ac:dyDescent="0.25">
      <c r="A151" s="2" t="s">
        <v>202</v>
      </c>
      <c r="B151" s="2" t="s">
        <v>220</v>
      </c>
      <c r="C151" s="2" t="s">
        <v>12</v>
      </c>
      <c r="D151" s="2" t="s">
        <v>19</v>
      </c>
      <c r="E151" s="7">
        <v>23.39999961853027</v>
      </c>
      <c r="F151" s="12"/>
      <c r="G151" s="30">
        <f>E151-E149</f>
        <v>-0.20000076293946023</v>
      </c>
      <c r="H151" s="20"/>
      <c r="I151" s="4">
        <v>851600</v>
      </c>
      <c r="J151" s="2" t="s">
        <v>20</v>
      </c>
      <c r="K151" s="2">
        <v>-1.2820480425263761</v>
      </c>
      <c r="L151" s="2">
        <v>-2.136752171585738</v>
      </c>
      <c r="M151" s="2">
        <v>-1.7094001070560569</v>
      </c>
      <c r="N151" s="15">
        <f>E151-E103</f>
        <v>0.79999923706053977</v>
      </c>
      <c r="P151" s="27" t="s">
        <v>522</v>
      </c>
    </row>
    <row r="152" spans="1:16" ht="15" thickTop="1" x14ac:dyDescent="0.2">
      <c r="A152" t="s">
        <v>222</v>
      </c>
      <c r="B152" t="s">
        <v>223</v>
      </c>
      <c r="C152" t="s">
        <v>12</v>
      </c>
      <c r="D152" t="s">
        <v>13</v>
      </c>
      <c r="E152" s="5">
        <v>23.10000038146973</v>
      </c>
      <c r="F152" s="8"/>
      <c r="G152" s="24">
        <f>E152-E151</f>
        <v>-0.29999923706053977</v>
      </c>
      <c r="I152">
        <v>1121708</v>
      </c>
      <c r="J152" t="s">
        <v>224</v>
      </c>
      <c r="K152">
        <v>-0.86580415427130897</v>
      </c>
      <c r="L152">
        <v>0</v>
      </c>
      <c r="M152">
        <v>-0.43290207713565448</v>
      </c>
    </row>
    <row r="153" spans="1:16" x14ac:dyDescent="0.2">
      <c r="A153" t="s">
        <v>222</v>
      </c>
      <c r="B153" t="s">
        <v>225</v>
      </c>
      <c r="C153" t="s">
        <v>12</v>
      </c>
      <c r="D153" t="s">
        <v>13</v>
      </c>
      <c r="E153">
        <v>22.89999961853027</v>
      </c>
      <c r="I153">
        <v>1704609</v>
      </c>
      <c r="J153" t="s">
        <v>226</v>
      </c>
      <c r="K153">
        <v>0.4366828957883826</v>
      </c>
      <c r="L153">
        <v>0.4366828957883826</v>
      </c>
      <c r="M153">
        <v>0.4366828957883826</v>
      </c>
    </row>
    <row r="154" spans="1:16" x14ac:dyDescent="0.2">
      <c r="A154" t="s">
        <v>222</v>
      </c>
      <c r="B154" t="s">
        <v>227</v>
      </c>
      <c r="C154" t="s">
        <v>12</v>
      </c>
      <c r="D154" t="s">
        <v>13</v>
      </c>
      <c r="E154">
        <v>23</v>
      </c>
      <c r="I154">
        <v>1327838</v>
      </c>
      <c r="J154" t="s">
        <v>228</v>
      </c>
      <c r="K154">
        <v>0</v>
      </c>
      <c r="L154">
        <v>0</v>
      </c>
      <c r="M154">
        <v>0</v>
      </c>
    </row>
    <row r="155" spans="1:16" x14ac:dyDescent="0.2">
      <c r="A155" t="s">
        <v>222</v>
      </c>
      <c r="B155" t="s">
        <v>229</v>
      </c>
      <c r="C155" t="s">
        <v>12</v>
      </c>
      <c r="D155" t="s">
        <v>15</v>
      </c>
      <c r="E155">
        <v>22.89999961853027</v>
      </c>
      <c r="I155">
        <v>404232</v>
      </c>
      <c r="J155" t="s">
        <v>34</v>
      </c>
      <c r="K155">
        <v>0</v>
      </c>
      <c r="L155">
        <v>-0.87335746254329527</v>
      </c>
      <c r="M155">
        <v>-0.87335746254329527</v>
      </c>
    </row>
    <row r="156" spans="1:16" x14ac:dyDescent="0.2">
      <c r="A156" t="s">
        <v>222</v>
      </c>
      <c r="B156" t="s">
        <v>230</v>
      </c>
      <c r="C156" t="s">
        <v>12</v>
      </c>
      <c r="D156" t="s">
        <v>13</v>
      </c>
      <c r="E156">
        <v>22.70000076293945</v>
      </c>
      <c r="I156" s="3">
        <v>1944300</v>
      </c>
      <c r="J156" t="s">
        <v>231</v>
      </c>
      <c r="K156">
        <v>0</v>
      </c>
      <c r="L156">
        <v>0.44052189762193128</v>
      </c>
      <c r="M156">
        <v>0</v>
      </c>
    </row>
    <row r="157" spans="1:16" x14ac:dyDescent="0.2">
      <c r="A157" t="s">
        <v>222</v>
      </c>
      <c r="B157" t="s">
        <v>230</v>
      </c>
      <c r="C157" t="s">
        <v>12</v>
      </c>
      <c r="D157" t="s">
        <v>15</v>
      </c>
      <c r="E157">
        <v>22.70000076293945</v>
      </c>
      <c r="I157" s="3">
        <v>1944300</v>
      </c>
      <c r="J157" t="s">
        <v>34</v>
      </c>
      <c r="K157">
        <v>0</v>
      </c>
      <c r="L157">
        <v>0.44052189762193128</v>
      </c>
      <c r="M157">
        <v>0</v>
      </c>
    </row>
    <row r="158" spans="1:16" x14ac:dyDescent="0.2">
      <c r="A158" t="s">
        <v>222</v>
      </c>
      <c r="B158" t="s">
        <v>232</v>
      </c>
      <c r="C158" t="s">
        <v>12</v>
      </c>
      <c r="D158" t="s">
        <v>13</v>
      </c>
      <c r="E158">
        <v>22.70000076293945</v>
      </c>
      <c r="I158">
        <v>789013</v>
      </c>
      <c r="J158" t="s">
        <v>233</v>
      </c>
      <c r="K158">
        <v>0</v>
      </c>
      <c r="L158">
        <v>0</v>
      </c>
      <c r="M158">
        <v>-0.4405303000385335</v>
      </c>
    </row>
    <row r="159" spans="1:16" x14ac:dyDescent="0.2">
      <c r="A159" t="s">
        <v>222</v>
      </c>
      <c r="B159" t="s">
        <v>234</v>
      </c>
      <c r="C159" t="s">
        <v>12</v>
      </c>
      <c r="D159" t="s">
        <v>15</v>
      </c>
      <c r="E159">
        <v>22.79999923706055</v>
      </c>
      <c r="I159">
        <v>759736</v>
      </c>
      <c r="J159" t="s">
        <v>23</v>
      </c>
      <c r="K159">
        <v>-0.43858981345293191</v>
      </c>
      <c r="L159">
        <v>-0.43858981345293191</v>
      </c>
      <c r="M159">
        <v>-0.87718799247032275</v>
      </c>
    </row>
    <row r="160" spans="1:16" x14ac:dyDescent="0.2">
      <c r="A160" t="s">
        <v>222</v>
      </c>
      <c r="B160" t="s">
        <v>235</v>
      </c>
      <c r="C160" t="s">
        <v>12</v>
      </c>
      <c r="D160" t="s">
        <v>15</v>
      </c>
      <c r="E160" s="6">
        <v>22.60000038146973</v>
      </c>
      <c r="F160" s="8"/>
      <c r="H160" s="22"/>
      <c r="I160">
        <v>868793</v>
      </c>
      <c r="J160" t="s">
        <v>34</v>
      </c>
      <c r="K160">
        <v>0</v>
      </c>
      <c r="L160">
        <v>0.88495067351770529</v>
      </c>
      <c r="M160">
        <v>0</v>
      </c>
    </row>
    <row r="161" spans="1:15" ht="15" thickBot="1" x14ac:dyDescent="0.25">
      <c r="A161" t="s">
        <v>222</v>
      </c>
      <c r="B161" t="s">
        <v>236</v>
      </c>
      <c r="C161" t="s">
        <v>12</v>
      </c>
      <c r="D161" s="3" t="s">
        <v>13</v>
      </c>
      <c r="E161" s="6">
        <v>22.60000038146973</v>
      </c>
      <c r="F161" s="8"/>
      <c r="H161" s="22"/>
      <c r="I161" s="3">
        <v>3663501</v>
      </c>
      <c r="J161" t="s">
        <v>237</v>
      </c>
      <c r="K161">
        <v>0</v>
      </c>
      <c r="L161" s="10">
        <v>0.44247955655664162</v>
      </c>
      <c r="M161" s="10">
        <v>0.44247955655664162</v>
      </c>
    </row>
    <row r="162" spans="1:15" ht="15.75" thickTop="1" thickBot="1" x14ac:dyDescent="0.25">
      <c r="A162" t="s">
        <v>222</v>
      </c>
      <c r="B162" t="s">
        <v>236</v>
      </c>
      <c r="C162" t="s">
        <v>12</v>
      </c>
      <c r="D162" s="3" t="s">
        <v>15</v>
      </c>
      <c r="E162" s="6">
        <v>22.60000038146973</v>
      </c>
      <c r="F162" s="8"/>
      <c r="H162" s="22">
        <f>E162-E128</f>
        <v>-0.5</v>
      </c>
      <c r="I162" s="3">
        <v>3663501</v>
      </c>
      <c r="J162" t="s">
        <v>66</v>
      </c>
      <c r="K162">
        <v>0</v>
      </c>
      <c r="L162" s="10">
        <v>0.44247955655664162</v>
      </c>
      <c r="M162" s="10">
        <v>0.44247955655664162</v>
      </c>
      <c r="O162" s="16">
        <f>E162-E128</f>
        <v>-0.5</v>
      </c>
    </row>
    <row r="163" spans="1:15" ht="15.75" thickTop="1" thickBot="1" x14ac:dyDescent="0.25">
      <c r="A163" t="s">
        <v>222</v>
      </c>
      <c r="B163" t="s">
        <v>236</v>
      </c>
      <c r="C163" t="s">
        <v>12</v>
      </c>
      <c r="D163" s="3" t="s">
        <v>19</v>
      </c>
      <c r="E163" s="6">
        <v>22.60000038146973</v>
      </c>
      <c r="F163" s="8"/>
      <c r="H163" s="22"/>
      <c r="I163" s="3">
        <v>3663501</v>
      </c>
      <c r="J163" t="s">
        <v>20</v>
      </c>
      <c r="K163">
        <v>0</v>
      </c>
      <c r="L163" s="10">
        <v>0.44247955655664162</v>
      </c>
      <c r="M163" s="10">
        <v>0.44247955655664162</v>
      </c>
    </row>
    <row r="164" spans="1:15" ht="15.75" thickTop="1" thickBot="1" x14ac:dyDescent="0.25">
      <c r="A164" s="2" t="s">
        <v>222</v>
      </c>
      <c r="B164" s="2" t="s">
        <v>238</v>
      </c>
      <c r="C164" s="2" t="s">
        <v>12</v>
      </c>
      <c r="D164" s="2" t="s">
        <v>13</v>
      </c>
      <c r="E164" s="2">
        <v>22.70000076293945</v>
      </c>
      <c r="F164" s="2"/>
      <c r="G164" s="20"/>
      <c r="H164" s="21">
        <f>E164-E163</f>
        <v>0.10000038146971946</v>
      </c>
      <c r="I164" s="2">
        <v>1831608</v>
      </c>
      <c r="J164" s="2" t="s">
        <v>239</v>
      </c>
      <c r="K164" s="2">
        <v>0.44052189762193128</v>
      </c>
      <c r="L164" s="2">
        <v>1.321582497698998</v>
      </c>
      <c r="M164" s="2">
        <v>0.88105219766046483</v>
      </c>
      <c r="O164" s="16">
        <f>E164-E128</f>
        <v>-0.39999961853028054</v>
      </c>
    </row>
    <row r="165" spans="1:15" ht="15" thickTop="1" x14ac:dyDescent="0.2">
      <c r="A165" t="s">
        <v>240</v>
      </c>
      <c r="B165" t="s">
        <v>241</v>
      </c>
      <c r="C165" t="s">
        <v>12</v>
      </c>
      <c r="D165" t="s">
        <v>15</v>
      </c>
      <c r="E165" s="6">
        <v>22.70000076293945</v>
      </c>
      <c r="F165" s="9"/>
      <c r="H165" s="19">
        <f>E165-E164</f>
        <v>0</v>
      </c>
      <c r="I165">
        <v>0</v>
      </c>
      <c r="J165" t="s">
        <v>242</v>
      </c>
      <c r="K165">
        <v>1.321582497698998</v>
      </c>
      <c r="L165">
        <v>0.88105219766046483</v>
      </c>
      <c r="M165">
        <v>0.88105219766046483</v>
      </c>
    </row>
    <row r="166" spans="1:15" x14ac:dyDescent="0.2">
      <c r="A166" t="s">
        <v>240</v>
      </c>
      <c r="B166" t="s">
        <v>243</v>
      </c>
      <c r="C166" t="s">
        <v>12</v>
      </c>
      <c r="D166" t="s">
        <v>13</v>
      </c>
      <c r="E166" s="5">
        <v>23.10000038146973</v>
      </c>
      <c r="F166" s="8"/>
      <c r="G166" s="24"/>
      <c r="I166" s="3">
        <v>647800</v>
      </c>
      <c r="J166" t="s">
        <v>244</v>
      </c>
      <c r="K166">
        <v>0</v>
      </c>
      <c r="L166">
        <v>0</v>
      </c>
      <c r="M166">
        <v>0</v>
      </c>
    </row>
    <row r="167" spans="1:15" x14ac:dyDescent="0.2">
      <c r="A167" t="s">
        <v>240</v>
      </c>
      <c r="B167" t="s">
        <v>243</v>
      </c>
      <c r="C167" t="s">
        <v>12</v>
      </c>
      <c r="D167" t="s">
        <v>19</v>
      </c>
      <c r="E167" s="5">
        <v>23.10000038146973</v>
      </c>
      <c r="F167" s="8"/>
      <c r="G167" s="24">
        <f>E167-E152</f>
        <v>0</v>
      </c>
      <c r="I167" s="3">
        <v>647800</v>
      </c>
      <c r="J167" t="s">
        <v>20</v>
      </c>
      <c r="K167">
        <v>0</v>
      </c>
      <c r="L167">
        <v>0</v>
      </c>
      <c r="M167">
        <v>0</v>
      </c>
    </row>
    <row r="168" spans="1:15" x14ac:dyDescent="0.2">
      <c r="A168" t="s">
        <v>240</v>
      </c>
      <c r="B168" t="s">
        <v>245</v>
      </c>
      <c r="C168" t="s">
        <v>12</v>
      </c>
      <c r="D168" t="s">
        <v>13</v>
      </c>
      <c r="E168">
        <v>22.89999961853027</v>
      </c>
      <c r="I168" s="3">
        <v>956400</v>
      </c>
      <c r="J168" t="s">
        <v>246</v>
      </c>
      <c r="K168">
        <v>0.4366828957883826</v>
      </c>
      <c r="L168">
        <v>0.87336579157676519</v>
      </c>
      <c r="M168">
        <v>0.87336579157676519</v>
      </c>
    </row>
    <row r="169" spans="1:15" x14ac:dyDescent="0.2">
      <c r="A169" t="s">
        <v>240</v>
      </c>
      <c r="B169" t="s">
        <v>245</v>
      </c>
      <c r="C169" t="s">
        <v>12</v>
      </c>
      <c r="D169" t="s">
        <v>15</v>
      </c>
      <c r="E169">
        <v>22.89999961853027</v>
      </c>
      <c r="I169" s="3">
        <v>956400</v>
      </c>
      <c r="J169" t="s">
        <v>184</v>
      </c>
      <c r="K169">
        <v>0.4366828957883826</v>
      </c>
      <c r="L169">
        <v>0.87336579157676519</v>
      </c>
      <c r="M169">
        <v>0.87336579157676519</v>
      </c>
    </row>
    <row r="170" spans="1:15" x14ac:dyDescent="0.2">
      <c r="A170" s="2" t="s">
        <v>240</v>
      </c>
      <c r="B170" s="2" t="s">
        <v>247</v>
      </c>
      <c r="C170" s="2" t="s">
        <v>12</v>
      </c>
      <c r="D170" s="2" t="s">
        <v>15</v>
      </c>
      <c r="E170" s="2">
        <v>23</v>
      </c>
      <c r="F170" s="2"/>
      <c r="G170" s="20"/>
      <c r="H170" s="20"/>
      <c r="I170" s="2">
        <v>264170</v>
      </c>
      <c r="J170" s="2" t="s">
        <v>66</v>
      </c>
      <c r="K170" s="2">
        <v>0.86956853451936145</v>
      </c>
      <c r="L170" s="2">
        <v>0.86956853451936145</v>
      </c>
      <c r="M170" s="2">
        <v>0</v>
      </c>
    </row>
    <row r="171" spans="1:15" x14ac:dyDescent="0.2">
      <c r="A171" t="s">
        <v>248</v>
      </c>
      <c r="B171" t="s">
        <v>249</v>
      </c>
      <c r="C171" t="s">
        <v>12</v>
      </c>
      <c r="D171" t="s">
        <v>15</v>
      </c>
      <c r="E171" s="5">
        <v>23.20000076293945</v>
      </c>
      <c r="F171" s="9"/>
      <c r="G171" s="23"/>
      <c r="I171">
        <v>0</v>
      </c>
      <c r="J171" t="s">
        <v>148</v>
      </c>
      <c r="K171">
        <v>0</v>
      </c>
      <c r="L171">
        <v>-1.293108338549767</v>
      </c>
      <c r="M171">
        <v>-0.86207222569984476</v>
      </c>
    </row>
    <row r="172" spans="1:15" ht="15" thickBot="1" x14ac:dyDescent="0.25">
      <c r="A172" t="s">
        <v>248</v>
      </c>
      <c r="B172" t="s">
        <v>250</v>
      </c>
      <c r="C172" t="s">
        <v>12</v>
      </c>
      <c r="D172" t="s">
        <v>13</v>
      </c>
      <c r="E172" s="5">
        <v>23.20000076293945</v>
      </c>
      <c r="F172" s="9"/>
      <c r="G172" s="23">
        <f>E172-E167</f>
        <v>0.10000038146971946</v>
      </c>
      <c r="I172" s="3">
        <v>542100</v>
      </c>
      <c r="J172" t="s">
        <v>251</v>
      </c>
      <c r="K172">
        <v>0</v>
      </c>
      <c r="L172">
        <v>-1.293108338549767</v>
      </c>
      <c r="M172">
        <v>-0.86207222569984476</v>
      </c>
    </row>
    <row r="173" spans="1:15" ht="15.75" thickTop="1" thickBot="1" x14ac:dyDescent="0.25">
      <c r="A173" t="s">
        <v>248</v>
      </c>
      <c r="B173" t="s">
        <v>250</v>
      </c>
      <c r="C173" t="s">
        <v>12</v>
      </c>
      <c r="D173" t="s">
        <v>19</v>
      </c>
      <c r="E173" s="5">
        <v>23.20000076293945</v>
      </c>
      <c r="F173" s="9"/>
      <c r="G173" s="23"/>
      <c r="I173" s="3">
        <v>542100</v>
      </c>
      <c r="J173" t="s">
        <v>20</v>
      </c>
      <c r="K173">
        <v>0</v>
      </c>
      <c r="L173">
        <v>-1.293108338549767</v>
      </c>
      <c r="M173">
        <v>-0.86207222569984476</v>
      </c>
      <c r="N173" s="16">
        <f>E173-E151</f>
        <v>-0.19999885559082031</v>
      </c>
    </row>
    <row r="174" spans="1:15" ht="15" thickTop="1" x14ac:dyDescent="0.2">
      <c r="A174" t="s">
        <v>248</v>
      </c>
      <c r="B174" t="s">
        <v>252</v>
      </c>
      <c r="C174" t="s">
        <v>12</v>
      </c>
      <c r="D174" t="s">
        <v>13</v>
      </c>
      <c r="E174">
        <v>23</v>
      </c>
      <c r="I174" s="3">
        <v>1166900</v>
      </c>
      <c r="J174" t="s">
        <v>253</v>
      </c>
      <c r="K174">
        <v>0</v>
      </c>
      <c r="L174">
        <v>-0.43478426725968072</v>
      </c>
      <c r="M174">
        <v>-0.86956853451936145</v>
      </c>
    </row>
    <row r="175" spans="1:15" x14ac:dyDescent="0.2">
      <c r="A175" t="s">
        <v>248</v>
      </c>
      <c r="B175" t="s">
        <v>252</v>
      </c>
      <c r="C175" t="s">
        <v>12</v>
      </c>
      <c r="D175" t="s">
        <v>15</v>
      </c>
      <c r="E175">
        <v>23</v>
      </c>
      <c r="I175" s="3">
        <v>1166900</v>
      </c>
      <c r="J175" t="s">
        <v>254</v>
      </c>
      <c r="K175">
        <v>0</v>
      </c>
      <c r="L175">
        <v>-0.43478426725968072</v>
      </c>
      <c r="M175">
        <v>-0.86956853451936145</v>
      </c>
    </row>
    <row r="176" spans="1:15" x14ac:dyDescent="0.2">
      <c r="A176" t="s">
        <v>248</v>
      </c>
      <c r="B176" t="s">
        <v>255</v>
      </c>
      <c r="C176" t="s">
        <v>12</v>
      </c>
      <c r="D176" t="s">
        <v>15</v>
      </c>
      <c r="E176">
        <v>22.70000076293945</v>
      </c>
      <c r="I176">
        <v>154310</v>
      </c>
      <c r="J176" t="s">
        <v>66</v>
      </c>
      <c r="K176">
        <v>0</v>
      </c>
      <c r="L176">
        <v>0</v>
      </c>
      <c r="M176">
        <v>-0.4405303000385335</v>
      </c>
    </row>
    <row r="177" spans="1:16" x14ac:dyDescent="0.2">
      <c r="A177" t="s">
        <v>248</v>
      </c>
      <c r="B177" t="s">
        <v>256</v>
      </c>
      <c r="C177" t="s">
        <v>12</v>
      </c>
      <c r="D177" t="s">
        <v>15</v>
      </c>
      <c r="E177">
        <v>22.70000076293945</v>
      </c>
      <c r="I177">
        <v>61400</v>
      </c>
      <c r="J177" t="s">
        <v>34</v>
      </c>
      <c r="K177">
        <v>0</v>
      </c>
      <c r="L177">
        <v>0</v>
      </c>
      <c r="M177">
        <v>0</v>
      </c>
    </row>
    <row r="178" spans="1:16" x14ac:dyDescent="0.2">
      <c r="A178" t="s">
        <v>248</v>
      </c>
      <c r="B178" t="s">
        <v>257</v>
      </c>
      <c r="C178" t="s">
        <v>12</v>
      </c>
      <c r="D178" t="s">
        <v>13</v>
      </c>
      <c r="E178">
        <v>22.5</v>
      </c>
      <c r="I178" s="3">
        <v>1252179</v>
      </c>
      <c r="J178" t="s">
        <v>258</v>
      </c>
      <c r="K178">
        <v>0.4444461398654514</v>
      </c>
      <c r="L178">
        <v>0.4444461398654514</v>
      </c>
      <c r="M178">
        <v>0.4444461398654514</v>
      </c>
    </row>
    <row r="179" spans="1:16" x14ac:dyDescent="0.2">
      <c r="A179" t="s">
        <v>248</v>
      </c>
      <c r="B179" t="s">
        <v>257</v>
      </c>
      <c r="C179" t="s">
        <v>12</v>
      </c>
      <c r="D179" t="s">
        <v>15</v>
      </c>
      <c r="E179">
        <v>22.5</v>
      </c>
      <c r="I179" s="3">
        <v>1252179</v>
      </c>
      <c r="J179" t="s">
        <v>66</v>
      </c>
      <c r="K179">
        <v>0.4444461398654514</v>
      </c>
      <c r="L179">
        <v>0.4444461398654514</v>
      </c>
      <c r="M179">
        <v>0.4444461398654514</v>
      </c>
    </row>
    <row r="180" spans="1:16" ht="15" thickBot="1" x14ac:dyDescent="0.25">
      <c r="A180" t="s">
        <v>248</v>
      </c>
      <c r="B180" t="s">
        <v>259</v>
      </c>
      <c r="C180" t="s">
        <v>12</v>
      </c>
      <c r="D180" t="s">
        <v>13</v>
      </c>
      <c r="E180">
        <v>22.60000038146973</v>
      </c>
      <c r="I180">
        <v>799204</v>
      </c>
      <c r="J180" t="s">
        <v>260</v>
      </c>
      <c r="K180">
        <v>0</v>
      </c>
      <c r="L180">
        <v>0.44247955655664162</v>
      </c>
      <c r="M180">
        <v>0.88495067351770529</v>
      </c>
    </row>
    <row r="181" spans="1:16" ht="15.75" thickTop="1" thickBot="1" x14ac:dyDescent="0.25">
      <c r="A181" t="s">
        <v>248</v>
      </c>
      <c r="B181" t="s">
        <v>261</v>
      </c>
      <c r="C181" t="s">
        <v>12</v>
      </c>
      <c r="D181" t="s">
        <v>13</v>
      </c>
      <c r="E181">
        <v>22.5</v>
      </c>
      <c r="G181" s="24"/>
      <c r="I181" s="3">
        <v>1136299</v>
      </c>
      <c r="J181" t="s">
        <v>262</v>
      </c>
      <c r="K181">
        <v>-0.88889227973090279</v>
      </c>
      <c r="L181">
        <v>-0.88889227973090279</v>
      </c>
      <c r="M181">
        <v>-3.9999983045789929</v>
      </c>
      <c r="N181" s="16">
        <f>E181-E173</f>
        <v>-0.70000076293944957</v>
      </c>
    </row>
    <row r="182" spans="1:16" ht="15.75" thickTop="1" thickBot="1" x14ac:dyDescent="0.25">
      <c r="A182" t="s">
        <v>248</v>
      </c>
      <c r="B182" t="s">
        <v>261</v>
      </c>
      <c r="C182" t="s">
        <v>12</v>
      </c>
      <c r="D182" t="s">
        <v>15</v>
      </c>
      <c r="E182">
        <v>22.5</v>
      </c>
      <c r="G182" s="24">
        <f>E182-E173</f>
        <v>-0.70000076293944957</v>
      </c>
      <c r="I182" s="3">
        <v>1136299</v>
      </c>
      <c r="J182" t="s">
        <v>66</v>
      </c>
      <c r="K182">
        <v>-0.88889227973090279</v>
      </c>
      <c r="L182">
        <v>-0.88889227973090279</v>
      </c>
      <c r="M182">
        <v>-3.9999983045789929</v>
      </c>
    </row>
    <row r="183" spans="1:16" ht="15.75" thickTop="1" thickBot="1" x14ac:dyDescent="0.25">
      <c r="A183" t="s">
        <v>248</v>
      </c>
      <c r="B183" t="s">
        <v>263</v>
      </c>
      <c r="C183" t="s">
        <v>12</v>
      </c>
      <c r="D183" t="s">
        <v>13</v>
      </c>
      <c r="E183" s="17">
        <v>22.29999923706055</v>
      </c>
      <c r="F183" s="8"/>
      <c r="G183" s="24"/>
      <c r="I183" s="3">
        <v>2110873</v>
      </c>
      <c r="J183" t="s">
        <v>264</v>
      </c>
      <c r="K183">
        <v>0</v>
      </c>
      <c r="L183">
        <v>0</v>
      </c>
      <c r="M183">
        <v>-3.139008428428494</v>
      </c>
      <c r="P183" s="27" t="s">
        <v>522</v>
      </c>
    </row>
    <row r="184" spans="1:16" ht="15.75" thickTop="1" thickBot="1" x14ac:dyDescent="0.25">
      <c r="A184" s="2" t="s">
        <v>248</v>
      </c>
      <c r="B184" s="2" t="s">
        <v>263</v>
      </c>
      <c r="C184" s="2" t="s">
        <v>12</v>
      </c>
      <c r="D184" s="2" t="s">
        <v>15</v>
      </c>
      <c r="E184" s="26">
        <v>22.29999923706055</v>
      </c>
      <c r="F184" s="13"/>
      <c r="G184" s="30">
        <f>E184-E182</f>
        <v>-0.20000076293944957</v>
      </c>
      <c r="H184" s="20"/>
      <c r="I184" s="4">
        <v>2110873</v>
      </c>
      <c r="J184" s="2" t="s">
        <v>66</v>
      </c>
      <c r="K184" s="2">
        <v>0</v>
      </c>
      <c r="L184" s="2">
        <v>0</v>
      </c>
      <c r="M184" s="2">
        <v>-3.139008428428494</v>
      </c>
      <c r="N184" s="16">
        <f>E184-E173</f>
        <v>-0.90000152587889914</v>
      </c>
      <c r="P184" s="27" t="s">
        <v>522</v>
      </c>
    </row>
    <row r="185" spans="1:16" ht="15" thickTop="1" x14ac:dyDescent="0.2">
      <c r="A185" t="s">
        <v>265</v>
      </c>
      <c r="B185" t="s">
        <v>266</v>
      </c>
      <c r="C185" t="s">
        <v>12</v>
      </c>
      <c r="D185" t="s">
        <v>15</v>
      </c>
      <c r="E185" s="5">
        <v>21.79999923706055</v>
      </c>
      <c r="F185" s="8"/>
      <c r="G185" s="24">
        <f>E185-E184</f>
        <v>-0.5</v>
      </c>
      <c r="I185">
        <v>0</v>
      </c>
      <c r="J185" t="s">
        <v>267</v>
      </c>
      <c r="K185">
        <v>-0.45870861293927861</v>
      </c>
      <c r="L185">
        <v>-0.45870861293927861</v>
      </c>
      <c r="M185">
        <v>-0.45870861293927861</v>
      </c>
    </row>
    <row r="186" spans="1:16" x14ac:dyDescent="0.2">
      <c r="A186" t="s">
        <v>265</v>
      </c>
      <c r="B186" t="s">
        <v>268</v>
      </c>
      <c r="C186" t="s">
        <v>12</v>
      </c>
      <c r="D186" t="s">
        <v>13</v>
      </c>
      <c r="E186">
        <v>21.60000038146973</v>
      </c>
      <c r="I186">
        <v>891100</v>
      </c>
      <c r="J186" t="s">
        <v>269</v>
      </c>
      <c r="K186">
        <v>0</v>
      </c>
      <c r="L186">
        <v>0</v>
      </c>
      <c r="M186">
        <v>0</v>
      </c>
    </row>
    <row r="187" spans="1:16" x14ac:dyDescent="0.2">
      <c r="A187" t="s">
        <v>265</v>
      </c>
      <c r="B187" t="s">
        <v>270</v>
      </c>
      <c r="C187" t="s">
        <v>12</v>
      </c>
      <c r="D187" t="s">
        <v>13</v>
      </c>
      <c r="E187">
        <v>21.60000038146973</v>
      </c>
      <c r="G187" s="24"/>
      <c r="H187" s="22"/>
      <c r="I187" s="3">
        <v>2020323</v>
      </c>
      <c r="J187" t="s">
        <v>271</v>
      </c>
      <c r="K187">
        <v>0</v>
      </c>
      <c r="L187" s="9">
        <v>0.46296472085026058</v>
      </c>
      <c r="M187" s="8">
        <v>-0.46296472085026058</v>
      </c>
      <c r="P187" s="28" t="s">
        <v>540</v>
      </c>
    </row>
    <row r="188" spans="1:16" x14ac:dyDescent="0.2">
      <c r="A188" t="s">
        <v>265</v>
      </c>
      <c r="B188" t="s">
        <v>270</v>
      </c>
      <c r="C188" t="s">
        <v>12</v>
      </c>
      <c r="D188" t="s">
        <v>19</v>
      </c>
      <c r="E188">
        <v>21.60000038146973</v>
      </c>
      <c r="G188" s="24">
        <f>E188-E185</f>
        <v>-0.19999885559082031</v>
      </c>
      <c r="H188" s="22">
        <f>E188-E165</f>
        <v>-1.1000003814697195</v>
      </c>
      <c r="I188" s="3">
        <v>2020323</v>
      </c>
      <c r="J188" t="s">
        <v>20</v>
      </c>
      <c r="K188">
        <v>0</v>
      </c>
      <c r="L188" s="9">
        <v>0.46296472085026058</v>
      </c>
      <c r="M188" s="8">
        <v>-0.46296472085026058</v>
      </c>
      <c r="P188" s="28" t="s">
        <v>540</v>
      </c>
    </row>
    <row r="189" spans="1:16" x14ac:dyDescent="0.2">
      <c r="A189" t="s">
        <v>265</v>
      </c>
      <c r="B189" t="s">
        <v>272</v>
      </c>
      <c r="C189" t="s">
        <v>12</v>
      </c>
      <c r="D189" t="s">
        <v>13</v>
      </c>
      <c r="E189">
        <v>21.70000076293945</v>
      </c>
      <c r="I189">
        <v>1489145</v>
      </c>
      <c r="J189" t="s">
        <v>273</v>
      </c>
      <c r="K189">
        <v>-0.46083123481042981</v>
      </c>
      <c r="L189">
        <v>-0.92166246962085951</v>
      </c>
      <c r="M189">
        <v>-0.92166246962085951</v>
      </c>
    </row>
    <row r="190" spans="1:16" x14ac:dyDescent="0.2">
      <c r="A190" t="s">
        <v>265</v>
      </c>
      <c r="B190" t="s">
        <v>274</v>
      </c>
      <c r="C190" t="s">
        <v>12</v>
      </c>
      <c r="D190" t="s">
        <v>13</v>
      </c>
      <c r="E190" s="6">
        <v>21.5</v>
      </c>
      <c r="F190" s="8"/>
      <c r="H190" s="22"/>
      <c r="I190" s="3">
        <v>808700</v>
      </c>
      <c r="J190" t="s">
        <v>275</v>
      </c>
      <c r="K190">
        <v>0.4651180533475654</v>
      </c>
      <c r="L190">
        <v>0.4651180533475654</v>
      </c>
      <c r="M190">
        <v>0.4651180533475654</v>
      </c>
    </row>
    <row r="191" spans="1:16" x14ac:dyDescent="0.2">
      <c r="A191" t="s">
        <v>265</v>
      </c>
      <c r="B191" t="s">
        <v>274</v>
      </c>
      <c r="C191" t="s">
        <v>12</v>
      </c>
      <c r="D191" t="s">
        <v>15</v>
      </c>
      <c r="E191" s="6">
        <v>21.5</v>
      </c>
      <c r="F191" s="8"/>
      <c r="H191" s="22"/>
      <c r="I191" s="3">
        <v>808700</v>
      </c>
      <c r="J191" t="s">
        <v>16</v>
      </c>
      <c r="K191">
        <v>0.4651180533475654</v>
      </c>
      <c r="L191">
        <v>0.4651180533475654</v>
      </c>
      <c r="M191">
        <v>0.4651180533475654</v>
      </c>
    </row>
    <row r="192" spans="1:16" x14ac:dyDescent="0.2">
      <c r="A192" t="s">
        <v>265</v>
      </c>
      <c r="B192" t="s">
        <v>276</v>
      </c>
      <c r="C192" t="s">
        <v>12</v>
      </c>
      <c r="D192" t="s">
        <v>13</v>
      </c>
      <c r="E192" s="6">
        <v>21.5</v>
      </c>
      <c r="F192" s="8"/>
      <c r="H192" s="22"/>
      <c r="I192" s="3">
        <v>1164828</v>
      </c>
      <c r="J192" t="s">
        <v>277</v>
      </c>
      <c r="K192">
        <v>0.4651180533475654</v>
      </c>
      <c r="L192">
        <v>0.93023610669513079</v>
      </c>
      <c r="M192">
        <v>0.93023610669513079</v>
      </c>
    </row>
    <row r="193" spans="1:16" x14ac:dyDescent="0.2">
      <c r="A193" s="2" t="s">
        <v>265</v>
      </c>
      <c r="B193" s="2" t="s">
        <v>276</v>
      </c>
      <c r="C193" s="2" t="s">
        <v>12</v>
      </c>
      <c r="D193" s="2" t="s">
        <v>19</v>
      </c>
      <c r="E193" s="7">
        <v>21.5</v>
      </c>
      <c r="F193" s="13"/>
      <c r="G193" s="20"/>
      <c r="H193" s="25">
        <f>E193-E188</f>
        <v>-0.10000038146973012</v>
      </c>
      <c r="I193" s="4">
        <v>1164828</v>
      </c>
      <c r="J193" s="2" t="s">
        <v>20</v>
      </c>
      <c r="K193" s="2">
        <v>0.4651180533475654</v>
      </c>
      <c r="L193" s="2">
        <v>0.93023610669513079</v>
      </c>
      <c r="M193" s="2">
        <v>0.93023610669513079</v>
      </c>
    </row>
    <row r="194" spans="1:16" x14ac:dyDescent="0.2">
      <c r="A194" t="s">
        <v>278</v>
      </c>
      <c r="B194" t="s">
        <v>279</v>
      </c>
      <c r="C194" t="s">
        <v>12</v>
      </c>
      <c r="D194" t="s">
        <v>15</v>
      </c>
      <c r="E194" s="5">
        <v>21.70000076293945</v>
      </c>
      <c r="F194" s="8"/>
      <c r="G194" s="23">
        <f>E194-E188</f>
        <v>0.10000038146971946</v>
      </c>
      <c r="I194">
        <v>0</v>
      </c>
      <c r="J194" t="s">
        <v>66</v>
      </c>
      <c r="K194">
        <v>-0.92166246962085951</v>
      </c>
      <c r="L194">
        <v>0</v>
      </c>
      <c r="M194">
        <v>-0.46083123481042981</v>
      </c>
    </row>
    <row r="195" spans="1:16" x14ac:dyDescent="0.2">
      <c r="A195" t="s">
        <v>278</v>
      </c>
      <c r="B195" t="s">
        <v>280</v>
      </c>
      <c r="C195" t="s">
        <v>12</v>
      </c>
      <c r="D195" t="s">
        <v>15</v>
      </c>
      <c r="E195">
        <v>21.5</v>
      </c>
      <c r="I195">
        <v>229700</v>
      </c>
      <c r="J195" t="s">
        <v>23</v>
      </c>
      <c r="K195">
        <v>0.4651180533475654</v>
      </c>
      <c r="L195">
        <v>0.4651180533475654</v>
      </c>
      <c r="M195">
        <v>0.4651180533475654</v>
      </c>
    </row>
    <row r="196" spans="1:16" x14ac:dyDescent="0.2">
      <c r="A196" t="s">
        <v>278</v>
      </c>
      <c r="B196" t="s">
        <v>281</v>
      </c>
      <c r="C196" t="s">
        <v>12</v>
      </c>
      <c r="D196" t="s">
        <v>13</v>
      </c>
      <c r="E196">
        <v>21.60000038146973</v>
      </c>
      <c r="I196" s="3">
        <v>195905</v>
      </c>
      <c r="J196" t="s">
        <v>282</v>
      </c>
      <c r="K196">
        <v>-0.46296472085026058</v>
      </c>
      <c r="L196">
        <v>-0.46296472085026058</v>
      </c>
      <c r="M196">
        <v>-0.46296472085026058</v>
      </c>
    </row>
    <row r="197" spans="1:16" x14ac:dyDescent="0.2">
      <c r="A197" t="s">
        <v>278</v>
      </c>
      <c r="B197" t="s">
        <v>281</v>
      </c>
      <c r="C197" t="s">
        <v>12</v>
      </c>
      <c r="D197" t="s">
        <v>19</v>
      </c>
      <c r="E197">
        <v>21.60000038146973</v>
      </c>
      <c r="I197" s="3">
        <v>195905</v>
      </c>
      <c r="J197" t="s">
        <v>20</v>
      </c>
      <c r="K197">
        <v>-0.46296472085026058</v>
      </c>
      <c r="L197">
        <v>-0.46296472085026058</v>
      </c>
      <c r="M197">
        <v>-0.46296472085026058</v>
      </c>
    </row>
    <row r="198" spans="1:16" x14ac:dyDescent="0.2">
      <c r="A198" t="s">
        <v>278</v>
      </c>
      <c r="B198" t="s">
        <v>283</v>
      </c>
      <c r="C198" t="s">
        <v>12</v>
      </c>
      <c r="D198" t="s">
        <v>13</v>
      </c>
      <c r="E198">
        <v>21.39999961853027</v>
      </c>
      <c r="I198">
        <v>249810</v>
      </c>
      <c r="J198" t="s">
        <v>284</v>
      </c>
      <c r="K198">
        <v>0.46729151052477669</v>
      </c>
      <c r="L198">
        <v>0.46729151052477669</v>
      </c>
      <c r="M198">
        <v>0.93458302104955338</v>
      </c>
    </row>
    <row r="199" spans="1:16" x14ac:dyDescent="0.2">
      <c r="A199" t="s">
        <v>278</v>
      </c>
      <c r="B199" t="s">
        <v>285</v>
      </c>
      <c r="C199" t="s">
        <v>12</v>
      </c>
      <c r="D199" t="s">
        <v>13</v>
      </c>
      <c r="E199">
        <v>21.5</v>
      </c>
      <c r="I199">
        <v>455100</v>
      </c>
      <c r="J199" t="s">
        <v>286</v>
      </c>
      <c r="K199">
        <v>0</v>
      </c>
      <c r="L199">
        <v>0.4651180533475654</v>
      </c>
      <c r="M199">
        <v>0</v>
      </c>
    </row>
    <row r="200" spans="1:16" x14ac:dyDescent="0.2">
      <c r="A200" t="s">
        <v>278</v>
      </c>
      <c r="B200" t="s">
        <v>287</v>
      </c>
      <c r="C200" t="s">
        <v>12</v>
      </c>
      <c r="D200" t="s">
        <v>13</v>
      </c>
      <c r="E200">
        <v>21.60000038146973</v>
      </c>
      <c r="I200">
        <v>524500</v>
      </c>
      <c r="J200" t="s">
        <v>288</v>
      </c>
      <c r="K200">
        <v>0</v>
      </c>
      <c r="L200">
        <v>-0.46296472085026058</v>
      </c>
      <c r="M200">
        <v>-0.46296472085026058</v>
      </c>
    </row>
    <row r="201" spans="1:16" x14ac:dyDescent="0.2">
      <c r="A201" t="s">
        <v>278</v>
      </c>
      <c r="B201" t="s">
        <v>289</v>
      </c>
      <c r="C201" t="s">
        <v>12</v>
      </c>
      <c r="D201" t="s">
        <v>13</v>
      </c>
      <c r="E201">
        <v>21.60000038146973</v>
      </c>
      <c r="I201">
        <v>713403</v>
      </c>
      <c r="J201" t="s">
        <v>290</v>
      </c>
      <c r="K201">
        <v>-0.46296472085026058</v>
      </c>
      <c r="L201">
        <v>-0.46296472085026058</v>
      </c>
      <c r="M201">
        <v>-0.92592944170052127</v>
      </c>
    </row>
    <row r="202" spans="1:16" x14ac:dyDescent="0.2">
      <c r="A202" t="s">
        <v>278</v>
      </c>
      <c r="B202" t="s">
        <v>291</v>
      </c>
      <c r="C202" t="s">
        <v>12</v>
      </c>
      <c r="D202" t="s">
        <v>13</v>
      </c>
      <c r="E202">
        <v>21.5</v>
      </c>
      <c r="I202">
        <v>706500</v>
      </c>
      <c r="J202" t="s">
        <v>292</v>
      </c>
      <c r="K202">
        <v>0</v>
      </c>
      <c r="L202">
        <v>-0.4651180533475654</v>
      </c>
      <c r="M202">
        <v>0</v>
      </c>
    </row>
    <row r="203" spans="1:16" x14ac:dyDescent="0.2">
      <c r="A203" t="s">
        <v>278</v>
      </c>
      <c r="B203" t="s">
        <v>293</v>
      </c>
      <c r="C203" t="s">
        <v>12</v>
      </c>
      <c r="D203" t="s">
        <v>13</v>
      </c>
      <c r="E203">
        <v>21.39999961853027</v>
      </c>
      <c r="G203" s="24"/>
      <c r="H203" s="22"/>
      <c r="I203" s="3">
        <v>548300</v>
      </c>
      <c r="J203" t="s">
        <v>294</v>
      </c>
      <c r="K203" s="9">
        <v>0.46729151052477669</v>
      </c>
      <c r="L203">
        <v>0</v>
      </c>
      <c r="M203" s="8">
        <v>-0.93457410820531583</v>
      </c>
      <c r="P203" s="28" t="s">
        <v>540</v>
      </c>
    </row>
    <row r="204" spans="1:16" ht="15" thickBot="1" x14ac:dyDescent="0.25">
      <c r="A204" t="s">
        <v>278</v>
      </c>
      <c r="B204" t="s">
        <v>293</v>
      </c>
      <c r="C204" t="s">
        <v>12</v>
      </c>
      <c r="D204" t="s">
        <v>19</v>
      </c>
      <c r="E204">
        <v>21.39999961853027</v>
      </c>
      <c r="G204" s="24">
        <f>E204-E194</f>
        <v>-0.30000114440917969</v>
      </c>
      <c r="H204" s="22">
        <f>E204-E193</f>
        <v>-0.10000038146973012</v>
      </c>
      <c r="I204" s="3">
        <v>548300</v>
      </c>
      <c r="J204" t="s">
        <v>20</v>
      </c>
      <c r="K204" s="9">
        <v>0.46729151052477669</v>
      </c>
      <c r="L204">
        <v>0</v>
      </c>
      <c r="M204" s="8">
        <v>-0.93457410820531583</v>
      </c>
      <c r="P204" s="28" t="s">
        <v>540</v>
      </c>
    </row>
    <row r="205" spans="1:16" ht="15.75" thickTop="1" thickBot="1" x14ac:dyDescent="0.25">
      <c r="A205" t="s">
        <v>278</v>
      </c>
      <c r="B205" t="s">
        <v>295</v>
      </c>
      <c r="C205" t="s">
        <v>12</v>
      </c>
      <c r="D205" t="s">
        <v>13</v>
      </c>
      <c r="E205">
        <v>21.39999961853027</v>
      </c>
      <c r="I205" s="3">
        <v>728701</v>
      </c>
      <c r="J205" t="s">
        <v>296</v>
      </c>
      <c r="K205">
        <v>-0.46729151052477669</v>
      </c>
      <c r="L205">
        <v>-2.336448639779646</v>
      </c>
      <c r="M205">
        <v>-1.869157129254869</v>
      </c>
      <c r="N205" s="16">
        <f>E205-E184</f>
        <v>-0.89999961853028054</v>
      </c>
    </row>
    <row r="206" spans="1:16" ht="15.75" thickTop="1" thickBot="1" x14ac:dyDescent="0.25">
      <c r="A206" t="s">
        <v>278</v>
      </c>
      <c r="B206" t="s">
        <v>295</v>
      </c>
      <c r="C206" t="s">
        <v>12</v>
      </c>
      <c r="D206" t="s">
        <v>19</v>
      </c>
      <c r="E206">
        <v>21.39999961853027</v>
      </c>
      <c r="I206" s="3">
        <v>728701</v>
      </c>
      <c r="J206" t="s">
        <v>20</v>
      </c>
      <c r="K206">
        <v>-0.46729151052477669</v>
      </c>
      <c r="L206">
        <v>-2.336448639779646</v>
      </c>
      <c r="M206">
        <v>-1.869157129254869</v>
      </c>
    </row>
    <row r="207" spans="1:16" ht="15.75" thickTop="1" thickBot="1" x14ac:dyDescent="0.25">
      <c r="A207" t="s">
        <v>278</v>
      </c>
      <c r="B207" t="s">
        <v>297</v>
      </c>
      <c r="C207" t="s">
        <v>12</v>
      </c>
      <c r="D207" t="s">
        <v>13</v>
      </c>
      <c r="E207" s="6">
        <v>21.29999923706055</v>
      </c>
      <c r="F207" s="8"/>
      <c r="G207" s="24"/>
      <c r="I207" s="3">
        <v>515341</v>
      </c>
      <c r="J207" t="s">
        <v>298</v>
      </c>
      <c r="K207">
        <v>-0.93896179696962589</v>
      </c>
      <c r="L207">
        <v>-0.93896179696962589</v>
      </c>
      <c r="M207">
        <v>-1.877932548627989</v>
      </c>
      <c r="P207" s="27" t="s">
        <v>522</v>
      </c>
    </row>
    <row r="208" spans="1:16" ht="15.75" thickTop="1" thickBot="1" x14ac:dyDescent="0.25">
      <c r="A208" t="s">
        <v>278</v>
      </c>
      <c r="B208" t="s">
        <v>297</v>
      </c>
      <c r="C208" t="s">
        <v>12</v>
      </c>
      <c r="D208" t="s">
        <v>19</v>
      </c>
      <c r="E208" s="6">
        <v>21.29999923706055</v>
      </c>
      <c r="F208" s="8"/>
      <c r="G208" s="24"/>
      <c r="I208" s="3">
        <v>515341</v>
      </c>
      <c r="J208" t="s">
        <v>20</v>
      </c>
      <c r="K208">
        <v>-0.93896179696962589</v>
      </c>
      <c r="L208">
        <v>-0.93896179696962589</v>
      </c>
      <c r="M208">
        <v>-1.877932548627989</v>
      </c>
      <c r="P208" s="27" t="s">
        <v>522</v>
      </c>
    </row>
    <row r="209" spans="1:16" ht="15.75" thickTop="1" thickBot="1" x14ac:dyDescent="0.25">
      <c r="A209" t="s">
        <v>278</v>
      </c>
      <c r="B209" t="s">
        <v>299</v>
      </c>
      <c r="C209" t="s">
        <v>12</v>
      </c>
      <c r="D209" t="s">
        <v>13</v>
      </c>
      <c r="E209" s="6">
        <v>21.29999923706055</v>
      </c>
      <c r="F209" s="8"/>
      <c r="G209" s="24">
        <f>E209-E204</f>
        <v>-0.10000038146971946</v>
      </c>
      <c r="I209" s="3">
        <v>382491</v>
      </c>
      <c r="J209" t="s">
        <v>300</v>
      </c>
      <c r="K209">
        <v>-1.877932548627989</v>
      </c>
      <c r="L209">
        <v>-0.93896179696962589</v>
      </c>
      <c r="M209">
        <v>-1.4084471727988079</v>
      </c>
      <c r="P209" s="27" t="s">
        <v>522</v>
      </c>
    </row>
    <row r="210" spans="1:16" ht="15.75" thickTop="1" thickBot="1" x14ac:dyDescent="0.25">
      <c r="A210" s="2" t="s">
        <v>278</v>
      </c>
      <c r="B210" s="2" t="s">
        <v>299</v>
      </c>
      <c r="C210" s="2" t="s">
        <v>12</v>
      </c>
      <c r="D210" s="2" t="s">
        <v>19</v>
      </c>
      <c r="E210" s="7">
        <v>21.29999923706055</v>
      </c>
      <c r="F210" s="13"/>
      <c r="G210" s="30"/>
      <c r="H210" s="20"/>
      <c r="I210" s="4">
        <v>382491</v>
      </c>
      <c r="J210" s="2" t="s">
        <v>20</v>
      </c>
      <c r="K210" s="2">
        <v>-1.877932548627989</v>
      </c>
      <c r="L210" s="2">
        <v>-0.93896179696962589</v>
      </c>
      <c r="M210" s="2">
        <v>-1.4084471727988079</v>
      </c>
      <c r="N210" s="16">
        <f>E210-E184</f>
        <v>-1</v>
      </c>
      <c r="P210" s="27" t="s">
        <v>522</v>
      </c>
    </row>
    <row r="211" spans="1:16" ht="15" thickTop="1" x14ac:dyDescent="0.2">
      <c r="A211" t="s">
        <v>301</v>
      </c>
      <c r="B211" t="s">
        <v>302</v>
      </c>
      <c r="C211" t="s">
        <v>12</v>
      </c>
      <c r="D211" t="s">
        <v>13</v>
      </c>
      <c r="E211" s="5">
        <v>21.10000038146973</v>
      </c>
      <c r="F211" s="8"/>
      <c r="G211" s="24">
        <f>E211-E210</f>
        <v>-0.19999885559082031</v>
      </c>
      <c r="I211">
        <v>508100</v>
      </c>
      <c r="J211" t="s">
        <v>303</v>
      </c>
      <c r="K211">
        <v>0</v>
      </c>
      <c r="L211">
        <v>-0.47393544863415299</v>
      </c>
      <c r="M211">
        <v>-0.47393544863415299</v>
      </c>
    </row>
    <row r="212" spans="1:16" x14ac:dyDescent="0.2">
      <c r="A212" t="s">
        <v>301</v>
      </c>
      <c r="B212" t="s">
        <v>304</v>
      </c>
      <c r="C212" t="s">
        <v>12</v>
      </c>
      <c r="D212" t="s">
        <v>13</v>
      </c>
      <c r="E212">
        <v>20.89999961853027</v>
      </c>
      <c r="I212" s="3">
        <v>1665205</v>
      </c>
      <c r="J212" t="s">
        <v>305</v>
      </c>
      <c r="K212">
        <v>0.9569414669372972</v>
      </c>
      <c r="L212">
        <v>0.4784707334686486</v>
      </c>
      <c r="M212">
        <v>0</v>
      </c>
    </row>
    <row r="213" spans="1:16" x14ac:dyDescent="0.2">
      <c r="A213" t="s">
        <v>301</v>
      </c>
      <c r="B213" t="s">
        <v>304</v>
      </c>
      <c r="C213" t="s">
        <v>12</v>
      </c>
      <c r="D213" t="s">
        <v>15</v>
      </c>
      <c r="E213">
        <v>20.89999961853027</v>
      </c>
      <c r="I213" s="3">
        <v>1665205</v>
      </c>
      <c r="J213" t="s">
        <v>184</v>
      </c>
      <c r="K213">
        <v>0.9569414669372972</v>
      </c>
      <c r="L213">
        <v>0.4784707334686486</v>
      </c>
      <c r="M213">
        <v>0</v>
      </c>
    </row>
    <row r="214" spans="1:16" x14ac:dyDescent="0.2">
      <c r="A214" t="s">
        <v>301</v>
      </c>
      <c r="B214" t="s">
        <v>306</v>
      </c>
      <c r="C214" t="s">
        <v>12</v>
      </c>
      <c r="D214" t="s">
        <v>13</v>
      </c>
      <c r="E214">
        <v>20.79999923706055</v>
      </c>
      <c r="G214" s="24">
        <f>E214-E211</f>
        <v>-0.30000114440917969</v>
      </c>
      <c r="H214" s="22">
        <f>E214-E204</f>
        <v>-0.60000038146971946</v>
      </c>
      <c r="I214">
        <v>985200</v>
      </c>
      <c r="J214" t="s">
        <v>307</v>
      </c>
      <c r="K214" s="9">
        <v>0.48077108239287902</v>
      </c>
      <c r="L214" s="9">
        <v>0.48077108239287902</v>
      </c>
      <c r="M214" s="8">
        <v>-0.48076191244719257</v>
      </c>
      <c r="P214" s="28" t="s">
        <v>540</v>
      </c>
    </row>
    <row r="215" spans="1:16" x14ac:dyDescent="0.2">
      <c r="A215" t="s">
        <v>301</v>
      </c>
      <c r="B215" t="s">
        <v>308</v>
      </c>
      <c r="C215" t="s">
        <v>12</v>
      </c>
      <c r="D215" t="s">
        <v>13</v>
      </c>
      <c r="E215">
        <v>20.79999923706055</v>
      </c>
      <c r="I215">
        <v>758600</v>
      </c>
      <c r="J215" t="s">
        <v>309</v>
      </c>
      <c r="K215">
        <v>-0.48076191244719257</v>
      </c>
      <c r="L215">
        <v>-0.9615329948400716</v>
      </c>
      <c r="M215">
        <v>-0.9615329948400716</v>
      </c>
    </row>
    <row r="216" spans="1:16" x14ac:dyDescent="0.2">
      <c r="A216" t="s">
        <v>301</v>
      </c>
      <c r="B216" t="s">
        <v>310</v>
      </c>
      <c r="C216" t="s">
        <v>12</v>
      </c>
      <c r="D216" t="s">
        <v>13</v>
      </c>
      <c r="E216">
        <v>20.60000038146973</v>
      </c>
      <c r="G216" s="24">
        <f>E216-E214</f>
        <v>-0.19999885559082031</v>
      </c>
      <c r="H216" s="22">
        <f>E216-E214</f>
        <v>-0.19999885559082031</v>
      </c>
      <c r="I216">
        <v>1701202</v>
      </c>
      <c r="J216" t="s">
        <v>311</v>
      </c>
      <c r="K216" s="9">
        <v>0.4854387360093434</v>
      </c>
      <c r="L216">
        <v>0</v>
      </c>
      <c r="M216" s="8">
        <v>-0.4854387360093434</v>
      </c>
      <c r="P216" s="28" t="s">
        <v>540</v>
      </c>
    </row>
    <row r="217" spans="1:16" ht="15" thickBot="1" x14ac:dyDescent="0.25">
      <c r="A217" t="s">
        <v>301</v>
      </c>
      <c r="B217" t="s">
        <v>312</v>
      </c>
      <c r="C217" t="s">
        <v>12</v>
      </c>
      <c r="D217" t="s">
        <v>13</v>
      </c>
      <c r="E217">
        <v>20.5</v>
      </c>
      <c r="I217">
        <v>1573500</v>
      </c>
      <c r="J217" t="s">
        <v>313</v>
      </c>
      <c r="K217">
        <v>0</v>
      </c>
      <c r="L217">
        <v>0</v>
      </c>
      <c r="M217">
        <v>0</v>
      </c>
    </row>
    <row r="218" spans="1:16" ht="15.75" thickTop="1" thickBot="1" x14ac:dyDescent="0.25">
      <c r="A218" s="2" t="s">
        <v>301</v>
      </c>
      <c r="B218" s="2" t="s">
        <v>314</v>
      </c>
      <c r="C218" s="2" t="s">
        <v>12</v>
      </c>
      <c r="D218" s="2" t="s">
        <v>15</v>
      </c>
      <c r="E218" s="7">
        <v>20.39999961853027</v>
      </c>
      <c r="F218" s="13"/>
      <c r="G218" s="20"/>
      <c r="H218" s="25">
        <f>E218-E216</f>
        <v>-0.20000076293946023</v>
      </c>
      <c r="I218" s="2">
        <v>316888</v>
      </c>
      <c r="J218" s="2" t="s">
        <v>34</v>
      </c>
      <c r="K218" s="2">
        <v>0.98039591509493496</v>
      </c>
      <c r="L218" s="2">
        <v>0.98039591509493496</v>
      </c>
      <c r="M218" s="2">
        <v>1.470593872642403</v>
      </c>
      <c r="O218" s="16">
        <f>E218-E165</f>
        <v>-2.3000011444091797</v>
      </c>
    </row>
    <row r="219" spans="1:16" ht="15" thickTop="1" x14ac:dyDescent="0.2">
      <c r="A219" t="s">
        <v>315</v>
      </c>
      <c r="B219" t="s">
        <v>316</v>
      </c>
      <c r="C219" t="s">
        <v>12</v>
      </c>
      <c r="D219" t="s">
        <v>15</v>
      </c>
      <c r="E219">
        <v>20.70000076293945</v>
      </c>
      <c r="I219">
        <v>0</v>
      </c>
      <c r="J219" t="s">
        <v>41</v>
      </c>
      <c r="K219">
        <v>0</v>
      </c>
      <c r="L219">
        <v>-0.48309361248316329</v>
      </c>
      <c r="M219">
        <v>-0.48309361248316329</v>
      </c>
    </row>
    <row r="220" spans="1:16" x14ac:dyDescent="0.2">
      <c r="A220" t="s">
        <v>315</v>
      </c>
      <c r="B220" t="s">
        <v>317</v>
      </c>
      <c r="C220" t="s">
        <v>12</v>
      </c>
      <c r="D220" t="s">
        <v>13</v>
      </c>
      <c r="E220" s="6">
        <v>20.60000038146973</v>
      </c>
      <c r="F220" s="9"/>
      <c r="H220" s="19">
        <f>E220-E218</f>
        <v>0.20000076293946023</v>
      </c>
      <c r="I220">
        <v>568214</v>
      </c>
      <c r="J220" t="s">
        <v>318</v>
      </c>
      <c r="K220">
        <v>0</v>
      </c>
      <c r="L220">
        <v>0</v>
      </c>
      <c r="M220">
        <v>0.97086821304491255</v>
      </c>
    </row>
    <row r="221" spans="1:16" x14ac:dyDescent="0.2">
      <c r="A221" t="s">
        <v>315</v>
      </c>
      <c r="B221" t="s">
        <v>319</v>
      </c>
      <c r="C221" t="s">
        <v>12</v>
      </c>
      <c r="D221" t="s">
        <v>13</v>
      </c>
      <c r="E221">
        <v>20.79999923706055</v>
      </c>
      <c r="I221">
        <v>996400</v>
      </c>
      <c r="J221" t="s">
        <v>320</v>
      </c>
      <c r="K221">
        <v>0</v>
      </c>
      <c r="L221">
        <v>0</v>
      </c>
      <c r="M221">
        <v>0.96154216478575794</v>
      </c>
    </row>
    <row r="222" spans="1:16" x14ac:dyDescent="0.2">
      <c r="A222" t="s">
        <v>315</v>
      </c>
      <c r="B222" t="s">
        <v>321</v>
      </c>
      <c r="C222" t="s">
        <v>12</v>
      </c>
      <c r="D222" t="s">
        <v>13</v>
      </c>
      <c r="E222">
        <v>20.79999923706055</v>
      </c>
      <c r="I222" s="3">
        <v>725700</v>
      </c>
      <c r="J222" t="s">
        <v>322</v>
      </c>
      <c r="K222">
        <v>0.96154216478575794</v>
      </c>
      <c r="L222">
        <v>0.48077108239287902</v>
      </c>
      <c r="M222">
        <v>0.48077108239287902</v>
      </c>
    </row>
    <row r="223" spans="1:16" x14ac:dyDescent="0.2">
      <c r="A223" t="s">
        <v>315</v>
      </c>
      <c r="B223" t="s">
        <v>321</v>
      </c>
      <c r="C223" t="s">
        <v>12</v>
      </c>
      <c r="D223" t="s">
        <v>19</v>
      </c>
      <c r="E223">
        <v>20.79999923706055</v>
      </c>
      <c r="I223" s="3">
        <v>725700</v>
      </c>
      <c r="J223" t="s">
        <v>20</v>
      </c>
      <c r="K223">
        <v>0.96154216478575794</v>
      </c>
      <c r="L223">
        <v>0.48077108239287902</v>
      </c>
      <c r="M223">
        <v>0.48077108239287902</v>
      </c>
    </row>
    <row r="224" spans="1:16" x14ac:dyDescent="0.2">
      <c r="A224" t="s">
        <v>315</v>
      </c>
      <c r="B224" t="s">
        <v>323</v>
      </c>
      <c r="C224" t="s">
        <v>12</v>
      </c>
      <c r="D224" t="s">
        <v>15</v>
      </c>
      <c r="E224">
        <v>21</v>
      </c>
      <c r="G224" s="23">
        <f>E224-E216</f>
        <v>0.39999961853026988</v>
      </c>
      <c r="H224" s="19">
        <f>E224-E220</f>
        <v>0.39999961853026988</v>
      </c>
      <c r="I224">
        <v>510500</v>
      </c>
      <c r="J224" t="s">
        <v>61</v>
      </c>
      <c r="K224" s="8">
        <v>-0.47619229271298358</v>
      </c>
      <c r="L224" s="8">
        <v>-0.47619229271298358</v>
      </c>
      <c r="M224" s="9">
        <v>0.47619229271298358</v>
      </c>
      <c r="P224" s="28" t="s">
        <v>539</v>
      </c>
    </row>
    <row r="225" spans="1:17" x14ac:dyDescent="0.2">
      <c r="A225" t="s">
        <v>315</v>
      </c>
      <c r="B225" t="s">
        <v>324</v>
      </c>
      <c r="C225" t="s">
        <v>12</v>
      </c>
      <c r="D225" s="3" t="s">
        <v>13</v>
      </c>
      <c r="E225">
        <v>20.89999961853027</v>
      </c>
      <c r="H225" s="22"/>
      <c r="I225" s="3">
        <v>2200602</v>
      </c>
      <c r="J225" t="s">
        <v>325</v>
      </c>
      <c r="K225">
        <v>0</v>
      </c>
      <c r="L225">
        <v>1.435412200405946</v>
      </c>
      <c r="M225">
        <v>2.8708152747417119</v>
      </c>
    </row>
    <row r="226" spans="1:17" x14ac:dyDescent="0.2">
      <c r="A226" t="s">
        <v>315</v>
      </c>
      <c r="B226" t="s">
        <v>324</v>
      </c>
      <c r="C226" t="s">
        <v>12</v>
      </c>
      <c r="D226" s="3" t="s">
        <v>15</v>
      </c>
      <c r="E226">
        <v>20.89999961853027</v>
      </c>
      <c r="H226" s="22"/>
      <c r="I226" s="3">
        <v>2200602</v>
      </c>
      <c r="J226" t="s">
        <v>61</v>
      </c>
      <c r="K226">
        <v>0</v>
      </c>
      <c r="L226">
        <v>1.435412200405946</v>
      </c>
      <c r="M226">
        <v>2.8708152747417119</v>
      </c>
      <c r="O226" s="15">
        <f>E226-E218</f>
        <v>0.5</v>
      </c>
    </row>
    <row r="227" spans="1:17" x14ac:dyDescent="0.2">
      <c r="A227" t="s">
        <v>315</v>
      </c>
      <c r="B227" t="s">
        <v>324</v>
      </c>
      <c r="C227" t="s">
        <v>12</v>
      </c>
      <c r="D227" s="3" t="s">
        <v>19</v>
      </c>
      <c r="E227">
        <v>20.89999961853027</v>
      </c>
      <c r="H227" s="22">
        <f>E227-E224</f>
        <v>-0.10000038146973012</v>
      </c>
      <c r="I227" s="3">
        <v>2200602</v>
      </c>
      <c r="J227" t="s">
        <v>20</v>
      </c>
      <c r="K227">
        <v>0</v>
      </c>
      <c r="L227">
        <v>1.435412200405946</v>
      </c>
      <c r="M227">
        <v>2.8708152747417119</v>
      </c>
    </row>
    <row r="228" spans="1:17" ht="15" thickBot="1" x14ac:dyDescent="0.25">
      <c r="A228" t="s">
        <v>315</v>
      </c>
      <c r="B228" t="s">
        <v>326</v>
      </c>
      <c r="C228" t="s">
        <v>12</v>
      </c>
      <c r="D228" t="s">
        <v>15</v>
      </c>
      <c r="E228">
        <v>21.10000038146973</v>
      </c>
      <c r="H228" s="19">
        <f>E228-E227</f>
        <v>0.20000076293946023</v>
      </c>
      <c r="I228">
        <v>526820</v>
      </c>
      <c r="J228" t="s">
        <v>34</v>
      </c>
      <c r="K228">
        <v>0.47393544863415299</v>
      </c>
      <c r="L228">
        <v>1.4217973063356431</v>
      </c>
      <c r="M228">
        <v>1.895732754969796</v>
      </c>
      <c r="O228" s="15">
        <f>E228-E218</f>
        <v>0.70000076293946023</v>
      </c>
    </row>
    <row r="229" spans="1:17" ht="15.75" thickTop="1" thickBot="1" x14ac:dyDescent="0.25">
      <c r="A229" t="s">
        <v>315</v>
      </c>
      <c r="B229" t="s">
        <v>327</v>
      </c>
      <c r="C229" t="s">
        <v>12</v>
      </c>
      <c r="D229" t="s">
        <v>13</v>
      </c>
      <c r="E229" s="5">
        <v>21.39999961853027</v>
      </c>
      <c r="F229" s="9"/>
      <c r="G229"/>
      <c r="H229" s="19"/>
      <c r="I229" s="3">
        <v>1934064</v>
      </c>
      <c r="J229" t="s">
        <v>328</v>
      </c>
      <c r="K229" s="10">
        <v>0.46729151052477669</v>
      </c>
      <c r="L229" s="10">
        <v>0.46729151052477669</v>
      </c>
      <c r="M229" s="10">
        <v>0.93458302104955338</v>
      </c>
      <c r="P229" s="16" t="s">
        <v>521</v>
      </c>
    </row>
    <row r="230" spans="1:17" ht="15.75" thickTop="1" thickBot="1" x14ac:dyDescent="0.25">
      <c r="A230" s="2" t="s">
        <v>315</v>
      </c>
      <c r="B230" s="2" t="s">
        <v>327</v>
      </c>
      <c r="C230" s="2" t="s">
        <v>12</v>
      </c>
      <c r="D230" s="2" t="s">
        <v>15</v>
      </c>
      <c r="E230" s="11">
        <v>21.39999961853027</v>
      </c>
      <c r="F230" s="12"/>
      <c r="G230" s="2"/>
      <c r="H230" s="21">
        <f>E230-E228</f>
        <v>0.29999923706053977</v>
      </c>
      <c r="I230" s="4">
        <v>1934064</v>
      </c>
      <c r="J230" s="2" t="s">
        <v>254</v>
      </c>
      <c r="K230" s="14">
        <v>0.46729151052477669</v>
      </c>
      <c r="L230" s="14">
        <v>0.46729151052477669</v>
      </c>
      <c r="M230" s="14">
        <v>0.93458302104955338</v>
      </c>
      <c r="P230" s="16" t="s">
        <v>521</v>
      </c>
    </row>
    <row r="231" spans="1:17" ht="15.75" thickTop="1" thickBot="1" x14ac:dyDescent="0.25">
      <c r="A231" t="s">
        <v>329</v>
      </c>
      <c r="B231" t="s">
        <v>330</v>
      </c>
      <c r="C231" t="s">
        <v>12</v>
      </c>
      <c r="D231" t="s">
        <v>15</v>
      </c>
      <c r="E231" s="6">
        <v>22.39999961853027</v>
      </c>
      <c r="F231" s="9"/>
      <c r="G231" s="23">
        <f>E231-E224</f>
        <v>1.3999996185302699</v>
      </c>
      <c r="H231" s="19">
        <f>E231-E230</f>
        <v>1</v>
      </c>
      <c r="I231">
        <v>0</v>
      </c>
      <c r="J231" t="s">
        <v>331</v>
      </c>
      <c r="K231" s="9">
        <v>1.339290846063254</v>
      </c>
      <c r="L231" s="9">
        <v>0.89286056404216907</v>
      </c>
      <c r="M231" s="8">
        <v>-0.44643028202108448</v>
      </c>
      <c r="O231" s="15">
        <f>E231-E228</f>
        <v>1.2999992370605398</v>
      </c>
      <c r="P231" s="27" t="s">
        <v>522</v>
      </c>
      <c r="Q231" s="28" t="s">
        <v>540</v>
      </c>
    </row>
    <row r="232" spans="1:17" ht="15" thickTop="1" x14ac:dyDescent="0.2">
      <c r="A232" t="s">
        <v>329</v>
      </c>
      <c r="B232" t="s">
        <v>332</v>
      </c>
      <c r="C232" t="s">
        <v>12</v>
      </c>
      <c r="D232" t="s">
        <v>13</v>
      </c>
      <c r="E232">
        <v>22.5</v>
      </c>
      <c r="G232" s="23">
        <f>E232-E231</f>
        <v>0.10000038146973012</v>
      </c>
      <c r="H232" s="19">
        <f>E232-E231</f>
        <v>0.10000038146973012</v>
      </c>
      <c r="I232">
        <v>2826727</v>
      </c>
      <c r="J232" t="s">
        <v>333</v>
      </c>
      <c r="K232" s="9">
        <v>0.4444461398654514</v>
      </c>
      <c r="L232" s="9">
        <v>0.4444461398654514</v>
      </c>
      <c r="M232" s="8">
        <v>-0.88889227973090279</v>
      </c>
    </row>
    <row r="233" spans="1:17" x14ac:dyDescent="0.2">
      <c r="A233" t="s">
        <v>329</v>
      </c>
      <c r="B233" t="s">
        <v>334</v>
      </c>
      <c r="C233" t="s">
        <v>12</v>
      </c>
      <c r="D233" t="s">
        <v>13</v>
      </c>
      <c r="E233">
        <v>22.70000076293945</v>
      </c>
      <c r="G233" s="23">
        <f>E233-E232</f>
        <v>0.20000076293944957</v>
      </c>
      <c r="I233">
        <v>4005083</v>
      </c>
      <c r="J233" t="s">
        <v>335</v>
      </c>
      <c r="K233">
        <v>-0.4405303000385335</v>
      </c>
      <c r="L233">
        <v>-1.3215909001156001</v>
      </c>
      <c r="M233">
        <v>-1.3215909001156001</v>
      </c>
      <c r="N233" s="15">
        <f>E233-E210</f>
        <v>1.4000015258788991</v>
      </c>
    </row>
    <row r="234" spans="1:17" x14ac:dyDescent="0.2">
      <c r="A234" t="s">
        <v>329</v>
      </c>
      <c r="B234" t="s">
        <v>336</v>
      </c>
      <c r="C234" t="s">
        <v>12</v>
      </c>
      <c r="D234" t="s">
        <v>13</v>
      </c>
      <c r="E234">
        <v>22.70000076293945</v>
      </c>
      <c r="H234" s="19"/>
      <c r="I234" s="3">
        <v>1850117</v>
      </c>
      <c r="J234" t="s">
        <v>337</v>
      </c>
      <c r="K234">
        <v>0</v>
      </c>
      <c r="L234">
        <v>1.7621127977375319</v>
      </c>
      <c r="M234">
        <v>1.7621127977375319</v>
      </c>
    </row>
    <row r="235" spans="1:17" x14ac:dyDescent="0.2">
      <c r="A235" t="s">
        <v>329</v>
      </c>
      <c r="B235" t="s">
        <v>336</v>
      </c>
      <c r="C235" t="s">
        <v>12</v>
      </c>
      <c r="D235" t="s">
        <v>15</v>
      </c>
      <c r="E235">
        <v>22.70000076293945</v>
      </c>
      <c r="H235" s="19"/>
      <c r="I235" s="3">
        <v>1850117</v>
      </c>
      <c r="J235" t="s">
        <v>254</v>
      </c>
      <c r="K235">
        <v>0</v>
      </c>
      <c r="L235">
        <v>1.7621127977375319</v>
      </c>
      <c r="M235">
        <v>1.7621127977375319</v>
      </c>
    </row>
    <row r="236" spans="1:17" x14ac:dyDescent="0.2">
      <c r="A236" t="s">
        <v>329</v>
      </c>
      <c r="B236" t="s">
        <v>338</v>
      </c>
      <c r="C236" t="s">
        <v>12</v>
      </c>
      <c r="D236" t="s">
        <v>13</v>
      </c>
      <c r="E236">
        <v>22.70000076293945</v>
      </c>
      <c r="H236" s="19"/>
      <c r="I236" s="3">
        <v>2511451</v>
      </c>
      <c r="J236" t="s">
        <v>339</v>
      </c>
      <c r="K236">
        <v>0</v>
      </c>
      <c r="L236">
        <v>1.7621127977375319</v>
      </c>
      <c r="M236">
        <v>1.7621127977375319</v>
      </c>
    </row>
    <row r="237" spans="1:17" x14ac:dyDescent="0.2">
      <c r="A237" t="s">
        <v>329</v>
      </c>
      <c r="B237" t="s">
        <v>338</v>
      </c>
      <c r="C237" t="s">
        <v>12</v>
      </c>
      <c r="D237" t="s">
        <v>19</v>
      </c>
      <c r="E237">
        <v>22.70000076293945</v>
      </c>
      <c r="H237" s="19">
        <f>E237-E232</f>
        <v>0.20000076293944957</v>
      </c>
      <c r="I237" s="3">
        <v>2511451</v>
      </c>
      <c r="J237" t="s">
        <v>20</v>
      </c>
      <c r="K237">
        <v>0</v>
      </c>
      <c r="L237">
        <v>1.7621127977375319</v>
      </c>
      <c r="M237">
        <v>1.7621127977375319</v>
      </c>
      <c r="O237" s="15">
        <f>E237-E231</f>
        <v>0.30000114440917969</v>
      </c>
    </row>
    <row r="238" spans="1:17" x14ac:dyDescent="0.2">
      <c r="A238" t="s">
        <v>329</v>
      </c>
      <c r="B238" t="s">
        <v>340</v>
      </c>
      <c r="C238" t="s">
        <v>12</v>
      </c>
      <c r="D238" t="s">
        <v>13</v>
      </c>
      <c r="E238">
        <v>23</v>
      </c>
      <c r="I238" s="3">
        <v>4502806</v>
      </c>
      <c r="J238" t="s">
        <v>341</v>
      </c>
      <c r="K238">
        <v>0.43478426725968072</v>
      </c>
      <c r="L238">
        <v>0.86956853451936145</v>
      </c>
      <c r="M238">
        <v>0.43478426725968072</v>
      </c>
    </row>
    <row r="239" spans="1:17" ht="15" thickBot="1" x14ac:dyDescent="0.25">
      <c r="A239" t="s">
        <v>329</v>
      </c>
      <c r="B239" t="s">
        <v>340</v>
      </c>
      <c r="C239" t="s">
        <v>12</v>
      </c>
      <c r="D239" t="s">
        <v>15</v>
      </c>
      <c r="E239">
        <v>23</v>
      </c>
      <c r="I239" s="3">
        <v>4502806</v>
      </c>
      <c r="J239" t="s">
        <v>342</v>
      </c>
      <c r="K239">
        <v>0.43478426725968072</v>
      </c>
      <c r="L239">
        <v>0.86956853451936145</v>
      </c>
      <c r="M239">
        <v>0.43478426725968072</v>
      </c>
    </row>
    <row r="240" spans="1:17" ht="15.75" thickTop="1" thickBot="1" x14ac:dyDescent="0.25">
      <c r="A240" t="s">
        <v>329</v>
      </c>
      <c r="B240" t="s">
        <v>343</v>
      </c>
      <c r="C240" t="s">
        <v>12</v>
      </c>
      <c r="D240" t="s">
        <v>13</v>
      </c>
      <c r="E240" s="5">
        <v>23.10000038146973</v>
      </c>
      <c r="H240" s="19"/>
      <c r="I240" s="3">
        <v>5523712</v>
      </c>
      <c r="J240" t="s">
        <v>344</v>
      </c>
      <c r="K240">
        <v>0.86579589735095697</v>
      </c>
      <c r="L240">
        <v>0</v>
      </c>
      <c r="M240">
        <v>0</v>
      </c>
      <c r="P240" s="16" t="s">
        <v>521</v>
      </c>
    </row>
    <row r="241" spans="1:16" ht="15.75" thickTop="1" thickBot="1" x14ac:dyDescent="0.25">
      <c r="A241" s="2" t="s">
        <v>329</v>
      </c>
      <c r="B241" s="2" t="s">
        <v>343</v>
      </c>
      <c r="C241" s="2" t="s">
        <v>12</v>
      </c>
      <c r="D241" s="2" t="s">
        <v>15</v>
      </c>
      <c r="E241" s="11">
        <v>23.10000038146973</v>
      </c>
      <c r="F241" s="2"/>
      <c r="G241" s="20"/>
      <c r="H241" s="21">
        <f>E241-E237</f>
        <v>0.39999961853028054</v>
      </c>
      <c r="I241" s="4">
        <v>5523712</v>
      </c>
      <c r="J241" s="2" t="s">
        <v>345</v>
      </c>
      <c r="K241" s="2">
        <v>0.86579589735095697</v>
      </c>
      <c r="L241" s="2">
        <v>0</v>
      </c>
      <c r="M241" s="2">
        <v>0</v>
      </c>
      <c r="P241" s="16" t="s">
        <v>521</v>
      </c>
    </row>
    <row r="242" spans="1:16" ht="15" thickTop="1" x14ac:dyDescent="0.2">
      <c r="A242" t="s">
        <v>346</v>
      </c>
      <c r="B242" t="s">
        <v>347</v>
      </c>
      <c r="C242" t="s">
        <v>12</v>
      </c>
      <c r="D242" t="s">
        <v>15</v>
      </c>
      <c r="E242" s="6">
        <v>22.79999923706055</v>
      </c>
      <c r="H242" s="22"/>
      <c r="I242">
        <v>0</v>
      </c>
      <c r="J242" t="s">
        <v>348</v>
      </c>
      <c r="K242">
        <v>0.43859817901739079</v>
      </c>
      <c r="L242">
        <v>0.43859817901739079</v>
      </c>
      <c r="M242">
        <v>0</v>
      </c>
    </row>
    <row r="243" spans="1:16" x14ac:dyDescent="0.2">
      <c r="A243" t="s">
        <v>346</v>
      </c>
      <c r="B243" t="s">
        <v>349</v>
      </c>
      <c r="C243" t="s">
        <v>12</v>
      </c>
      <c r="D243" t="s">
        <v>13</v>
      </c>
      <c r="E243" s="6">
        <v>22.79999923706055</v>
      </c>
      <c r="H243" s="22">
        <f>E243-E241</f>
        <v>-0.30000114440917969</v>
      </c>
      <c r="I243">
        <v>1175800</v>
      </c>
      <c r="J243" t="s">
        <v>350</v>
      </c>
      <c r="K243">
        <v>0.87719635803478169</v>
      </c>
      <c r="L243">
        <v>0.43859817901739079</v>
      </c>
      <c r="M243">
        <v>0</v>
      </c>
    </row>
    <row r="244" spans="1:16" x14ac:dyDescent="0.2">
      <c r="A244" t="s">
        <v>346</v>
      </c>
      <c r="B244" t="s">
        <v>351</v>
      </c>
      <c r="C244" t="s">
        <v>12</v>
      </c>
      <c r="D244" t="s">
        <v>15</v>
      </c>
      <c r="E244" s="5">
        <v>23</v>
      </c>
      <c r="G244" s="23">
        <f>E244-E233</f>
        <v>0.29999923706055043</v>
      </c>
      <c r="I244">
        <v>726300</v>
      </c>
      <c r="J244" t="s">
        <v>254</v>
      </c>
      <c r="K244">
        <v>-0.43478426725968072</v>
      </c>
      <c r="L244">
        <v>-0.86956853451936145</v>
      </c>
      <c r="M244">
        <v>-0.86956853451936145</v>
      </c>
    </row>
    <row r="245" spans="1:16" x14ac:dyDescent="0.2">
      <c r="A245" t="s">
        <v>346</v>
      </c>
      <c r="B245" t="s">
        <v>352</v>
      </c>
      <c r="C245" t="s">
        <v>12</v>
      </c>
      <c r="D245" t="s">
        <v>13</v>
      </c>
      <c r="E245" s="6">
        <v>22.79999923706055</v>
      </c>
      <c r="H245" s="22"/>
      <c r="I245" s="3">
        <v>735300</v>
      </c>
      <c r="J245" t="s">
        <v>353</v>
      </c>
      <c r="K245">
        <v>0</v>
      </c>
      <c r="L245">
        <v>1.315794537052172</v>
      </c>
      <c r="M245">
        <v>1.7543927160695629</v>
      </c>
    </row>
    <row r="246" spans="1:16" x14ac:dyDescent="0.2">
      <c r="A246" t="s">
        <v>346</v>
      </c>
      <c r="B246" t="s">
        <v>352</v>
      </c>
      <c r="C246" t="s">
        <v>12</v>
      </c>
      <c r="D246" t="s">
        <v>19</v>
      </c>
      <c r="E246" s="6">
        <v>22.79999923706055</v>
      </c>
      <c r="H246" s="22"/>
      <c r="I246" s="3">
        <v>735300</v>
      </c>
      <c r="J246" t="s">
        <v>20</v>
      </c>
      <c r="K246">
        <v>0</v>
      </c>
      <c r="L246">
        <v>1.315794537052172</v>
      </c>
      <c r="M246">
        <v>1.7543927160695629</v>
      </c>
    </row>
    <row r="247" spans="1:16" x14ac:dyDescent="0.2">
      <c r="A247" t="s">
        <v>346</v>
      </c>
      <c r="B247" t="s">
        <v>354</v>
      </c>
      <c r="C247" t="s">
        <v>12</v>
      </c>
      <c r="D247" t="s">
        <v>13</v>
      </c>
      <c r="E247" s="6">
        <v>22.79999923706055</v>
      </c>
      <c r="H247" s="22"/>
      <c r="I247" s="3">
        <v>1574307</v>
      </c>
      <c r="J247" t="s">
        <v>355</v>
      </c>
      <c r="K247">
        <v>0</v>
      </c>
      <c r="L247">
        <v>1.315794537052172</v>
      </c>
      <c r="M247">
        <v>1.7543927160695629</v>
      </c>
    </row>
    <row r="248" spans="1:16" x14ac:dyDescent="0.2">
      <c r="A248" s="2" t="s">
        <v>346</v>
      </c>
      <c r="B248" s="2" t="s">
        <v>354</v>
      </c>
      <c r="C248" s="2" t="s">
        <v>12</v>
      </c>
      <c r="D248" s="2" t="s">
        <v>19</v>
      </c>
      <c r="E248" s="7">
        <v>22.79999923706055</v>
      </c>
      <c r="F248" s="2"/>
      <c r="G248" s="20"/>
      <c r="H248" s="25">
        <f>E248-E243</f>
        <v>0</v>
      </c>
      <c r="I248" s="4">
        <v>1574307</v>
      </c>
      <c r="J248" s="2" t="s">
        <v>20</v>
      </c>
      <c r="K248" s="2">
        <v>0</v>
      </c>
      <c r="L248" s="2">
        <v>1.315794537052172</v>
      </c>
      <c r="M248" s="2">
        <v>1.7543927160695629</v>
      </c>
      <c r="O248" s="15">
        <f>E248-E237</f>
        <v>9.9998474121100855E-2</v>
      </c>
    </row>
    <row r="249" spans="1:16" x14ac:dyDescent="0.2">
      <c r="A249" t="s">
        <v>356</v>
      </c>
      <c r="B249" t="s">
        <v>357</v>
      </c>
      <c r="C249" t="s">
        <v>12</v>
      </c>
      <c r="D249" t="s">
        <v>15</v>
      </c>
      <c r="E249">
        <v>23.29999923706055</v>
      </c>
      <c r="F249" s="9"/>
      <c r="G249" s="23">
        <f>E249-E244</f>
        <v>0.29999923706055043</v>
      </c>
      <c r="I249">
        <v>0</v>
      </c>
      <c r="J249" t="s">
        <v>358</v>
      </c>
      <c r="K249">
        <v>-1.287550415810202</v>
      </c>
      <c r="L249">
        <v>-0.42917801457279892</v>
      </c>
      <c r="M249">
        <v>0</v>
      </c>
      <c r="N249" s="15">
        <f>E249-E233</f>
        <v>0.59999847412110086</v>
      </c>
    </row>
    <row r="250" spans="1:16" x14ac:dyDescent="0.2">
      <c r="A250" t="s">
        <v>356</v>
      </c>
      <c r="B250" t="s">
        <v>359</v>
      </c>
      <c r="C250" t="s">
        <v>12</v>
      </c>
      <c r="D250" t="s">
        <v>13</v>
      </c>
      <c r="E250" s="6">
        <v>23.10000038146973</v>
      </c>
      <c r="F250" s="9"/>
      <c r="H250" s="19"/>
      <c r="I250" s="3">
        <v>1690301</v>
      </c>
      <c r="J250" t="s">
        <v>360</v>
      </c>
      <c r="K250">
        <v>0</v>
      </c>
      <c r="L250">
        <v>0.43290207713565448</v>
      </c>
      <c r="M250">
        <v>1.731600051622266</v>
      </c>
    </row>
    <row r="251" spans="1:16" ht="15" thickBot="1" x14ac:dyDescent="0.25">
      <c r="A251" t="s">
        <v>356</v>
      </c>
      <c r="B251" t="s">
        <v>359</v>
      </c>
      <c r="C251" t="s">
        <v>12</v>
      </c>
      <c r="D251" t="s">
        <v>15</v>
      </c>
      <c r="E251" s="6">
        <v>23.10000038146973</v>
      </c>
      <c r="F251" s="9"/>
      <c r="H251" s="19">
        <f>E251-E248</f>
        <v>0.30000114440917969</v>
      </c>
      <c r="I251" s="3">
        <v>1690301</v>
      </c>
      <c r="J251" t="s">
        <v>28</v>
      </c>
      <c r="K251">
        <v>0</v>
      </c>
      <c r="L251">
        <v>0.43290207713565448</v>
      </c>
      <c r="M251">
        <v>1.731600051622266</v>
      </c>
      <c r="O251" s="15">
        <f>E251-E248</f>
        <v>0.30000114440917969</v>
      </c>
    </row>
    <row r="252" spans="1:16" ht="15.75" thickTop="1" thickBot="1" x14ac:dyDescent="0.25">
      <c r="A252" t="s">
        <v>356</v>
      </c>
      <c r="B252" t="s">
        <v>361</v>
      </c>
      <c r="C252" t="s">
        <v>12</v>
      </c>
      <c r="D252" t="s">
        <v>13</v>
      </c>
      <c r="E252" s="5">
        <v>23.5</v>
      </c>
      <c r="F252" s="9"/>
      <c r="H252" s="19"/>
      <c r="I252" s="3">
        <v>3315058</v>
      </c>
      <c r="J252" t="s">
        <v>362</v>
      </c>
      <c r="K252">
        <v>0</v>
      </c>
      <c r="L252" s="10">
        <v>0.42553353816904932</v>
      </c>
      <c r="M252" s="10">
        <v>0.42553353816904932</v>
      </c>
      <c r="P252" s="16" t="s">
        <v>521</v>
      </c>
    </row>
    <row r="253" spans="1:16" ht="15.75" thickTop="1" thickBot="1" x14ac:dyDescent="0.25">
      <c r="A253" t="s">
        <v>356</v>
      </c>
      <c r="B253" t="s">
        <v>361</v>
      </c>
      <c r="C253" t="s">
        <v>12</v>
      </c>
      <c r="D253" t="s">
        <v>15</v>
      </c>
      <c r="E253" s="5">
        <v>23.5</v>
      </c>
      <c r="F253" s="9"/>
      <c r="H253" s="19">
        <f>E253-E251</f>
        <v>0.39999961853026988</v>
      </c>
      <c r="I253" s="3">
        <v>3315058</v>
      </c>
      <c r="J253" t="s">
        <v>121</v>
      </c>
      <c r="K253">
        <v>0</v>
      </c>
      <c r="L253" s="10">
        <v>0.42553353816904932</v>
      </c>
      <c r="M253" s="10">
        <v>0.42553353816904932</v>
      </c>
      <c r="P253" s="16" t="s">
        <v>521</v>
      </c>
    </row>
    <row r="254" spans="1:16" ht="15" thickTop="1" x14ac:dyDescent="0.2">
      <c r="A254" s="2" t="s">
        <v>356</v>
      </c>
      <c r="B254" s="2" t="s">
        <v>363</v>
      </c>
      <c r="C254" s="2" t="s">
        <v>12</v>
      </c>
      <c r="D254" s="2" t="s">
        <v>15</v>
      </c>
      <c r="E254" s="7">
        <v>23.10000038146973</v>
      </c>
      <c r="F254" s="12">
        <v>23.3</v>
      </c>
      <c r="G254" s="20"/>
      <c r="H254" s="25">
        <f>E254-E253</f>
        <v>-0.39999961853026988</v>
      </c>
      <c r="I254" s="2">
        <v>965200</v>
      </c>
      <c r="J254" s="2" t="s">
        <v>23</v>
      </c>
      <c r="K254" s="2">
        <v>0.43290207713565448</v>
      </c>
      <c r="L254" s="2">
        <v>0.43290207713565448</v>
      </c>
      <c r="M254" s="2">
        <v>0.43290207713565448</v>
      </c>
    </row>
    <row r="255" spans="1:16" x14ac:dyDescent="0.2">
      <c r="A255" t="s">
        <v>364</v>
      </c>
      <c r="B255" t="s">
        <v>365</v>
      </c>
      <c r="C255" t="s">
        <v>12</v>
      </c>
      <c r="D255" t="s">
        <v>15</v>
      </c>
      <c r="E255">
        <v>23.10000038146973</v>
      </c>
      <c r="F255" s="9"/>
      <c r="I255">
        <v>0</v>
      </c>
      <c r="J255" t="s">
        <v>366</v>
      </c>
      <c r="K255">
        <v>-0.43290207713565448</v>
      </c>
      <c r="L255">
        <v>-0.43290207713565448</v>
      </c>
      <c r="M255">
        <v>-0.43290207713565448</v>
      </c>
    </row>
    <row r="256" spans="1:16" x14ac:dyDescent="0.2">
      <c r="A256" t="s">
        <v>364</v>
      </c>
      <c r="B256" t="s">
        <v>367</v>
      </c>
      <c r="C256" t="s">
        <v>12</v>
      </c>
      <c r="D256" t="s">
        <v>13</v>
      </c>
      <c r="E256">
        <v>23</v>
      </c>
      <c r="F256" s="9"/>
      <c r="I256" s="3">
        <v>1888510</v>
      </c>
      <c r="J256" t="s">
        <v>368</v>
      </c>
      <c r="K256">
        <v>0</v>
      </c>
      <c r="L256">
        <v>0</v>
      </c>
      <c r="M256">
        <v>-0.43478426725968072</v>
      </c>
    </row>
    <row r="257" spans="1:17" ht="15" thickBot="1" x14ac:dyDescent="0.25">
      <c r="A257" t="s">
        <v>364</v>
      </c>
      <c r="B257" t="s">
        <v>367</v>
      </c>
      <c r="C257" t="s">
        <v>12</v>
      </c>
      <c r="D257" t="s">
        <v>15</v>
      </c>
      <c r="E257">
        <v>23</v>
      </c>
      <c r="F257" s="9"/>
      <c r="I257" s="3">
        <v>1888510</v>
      </c>
      <c r="J257" t="s">
        <v>184</v>
      </c>
      <c r="K257">
        <v>0</v>
      </c>
      <c r="L257">
        <v>0</v>
      </c>
      <c r="M257">
        <v>-0.43478426725968072</v>
      </c>
    </row>
    <row r="258" spans="1:17" ht="15.75" thickTop="1" thickBot="1" x14ac:dyDescent="0.25">
      <c r="A258" t="s">
        <v>364</v>
      </c>
      <c r="B258" t="s">
        <v>369</v>
      </c>
      <c r="C258" t="s">
        <v>12</v>
      </c>
      <c r="D258" t="s">
        <v>13</v>
      </c>
      <c r="E258" s="6">
        <v>22.89999961853027</v>
      </c>
      <c r="F258" s="9"/>
      <c r="H258" s="22">
        <f>E258-E254</f>
        <v>-0.20000076293946023</v>
      </c>
      <c r="I258">
        <v>829500</v>
      </c>
      <c r="J258" t="s">
        <v>370</v>
      </c>
      <c r="K258">
        <v>0</v>
      </c>
      <c r="L258">
        <v>0.4366828957883826</v>
      </c>
      <c r="M258">
        <v>1.7467232541200599</v>
      </c>
      <c r="O258" s="16">
        <f>E258-E251</f>
        <v>-0.20000076293946023</v>
      </c>
    </row>
    <row r="259" spans="1:17" ht="15.75" thickTop="1" thickBot="1" x14ac:dyDescent="0.25">
      <c r="A259" t="s">
        <v>364</v>
      </c>
      <c r="B259" t="s">
        <v>371</v>
      </c>
      <c r="C259" t="s">
        <v>12</v>
      </c>
      <c r="D259" t="s">
        <v>13</v>
      </c>
      <c r="E259">
        <v>23</v>
      </c>
      <c r="F259" s="9"/>
      <c r="H259" s="19">
        <f>E259-E258</f>
        <v>0.10000038146973012</v>
      </c>
      <c r="I259">
        <v>744200</v>
      </c>
      <c r="J259" t="s">
        <v>372</v>
      </c>
      <c r="K259">
        <v>1.304344508958899</v>
      </c>
      <c r="L259">
        <v>1.304344508958899</v>
      </c>
      <c r="M259">
        <v>0.86956853451936145</v>
      </c>
      <c r="O259" s="16">
        <f>E259-E251</f>
        <v>-0.10000038146973012</v>
      </c>
    </row>
    <row r="260" spans="1:17" ht="15" thickTop="1" x14ac:dyDescent="0.2">
      <c r="A260" t="s">
        <v>364</v>
      </c>
      <c r="B260" t="s">
        <v>373</v>
      </c>
      <c r="C260" t="s">
        <v>12</v>
      </c>
      <c r="D260" t="s">
        <v>13</v>
      </c>
      <c r="E260">
        <v>23.20000076293945</v>
      </c>
      <c r="F260" s="9"/>
      <c r="G260" s="24">
        <f>E260-E249</f>
        <v>-9.9998474121100855E-2</v>
      </c>
      <c r="H260" s="19">
        <f>E260-E259</f>
        <v>0.20000076293944957</v>
      </c>
      <c r="I260">
        <v>944800</v>
      </c>
      <c r="J260" t="s">
        <v>374</v>
      </c>
      <c r="K260">
        <v>0</v>
      </c>
      <c r="L260" s="9">
        <v>0.43102789151987891</v>
      </c>
      <c r="M260" s="8">
        <v>-0.43103611284992238</v>
      </c>
      <c r="P260" s="28" t="s">
        <v>540</v>
      </c>
    </row>
    <row r="261" spans="1:17" x14ac:dyDescent="0.2">
      <c r="A261" t="s">
        <v>364</v>
      </c>
      <c r="B261" t="s">
        <v>375</v>
      </c>
      <c r="C261" t="s">
        <v>12</v>
      </c>
      <c r="D261" t="s">
        <v>13</v>
      </c>
      <c r="E261" s="5">
        <v>23.29999923706055</v>
      </c>
      <c r="F261" s="9"/>
      <c r="G261" s="23">
        <f>E261-E260</f>
        <v>9.9998474121100855E-2</v>
      </c>
      <c r="I261">
        <v>1150311</v>
      </c>
      <c r="J261" t="s">
        <v>376</v>
      </c>
      <c r="K261">
        <v>0</v>
      </c>
      <c r="L261">
        <v>0</v>
      </c>
      <c r="M261">
        <v>-0.42917801457279892</v>
      </c>
    </row>
    <row r="262" spans="1:17" x14ac:dyDescent="0.2">
      <c r="A262" t="s">
        <v>364</v>
      </c>
      <c r="B262" t="s">
        <v>377</v>
      </c>
      <c r="C262" t="s">
        <v>12</v>
      </c>
      <c r="D262" t="s">
        <v>13</v>
      </c>
      <c r="E262">
        <v>23.20000076293945</v>
      </c>
      <c r="F262" s="9"/>
      <c r="I262" s="3">
        <v>984700</v>
      </c>
      <c r="J262" t="s">
        <v>378</v>
      </c>
      <c r="K262">
        <v>0</v>
      </c>
      <c r="L262">
        <v>0</v>
      </c>
      <c r="M262">
        <v>-0.43103611284992238</v>
      </c>
    </row>
    <row r="263" spans="1:17" x14ac:dyDescent="0.2">
      <c r="A263" t="s">
        <v>364</v>
      </c>
      <c r="B263" t="s">
        <v>377</v>
      </c>
      <c r="C263" t="s">
        <v>12</v>
      </c>
      <c r="D263" t="s">
        <v>19</v>
      </c>
      <c r="E263">
        <v>23.20000076293945</v>
      </c>
      <c r="F263" s="9"/>
      <c r="I263" s="3">
        <v>984700</v>
      </c>
      <c r="J263" t="s">
        <v>20</v>
      </c>
      <c r="K263">
        <v>0</v>
      </c>
      <c r="L263">
        <v>0</v>
      </c>
      <c r="M263">
        <v>-0.43103611284992238</v>
      </c>
    </row>
    <row r="264" spans="1:17" ht="15" thickBot="1" x14ac:dyDescent="0.25">
      <c r="A264" t="s">
        <v>364</v>
      </c>
      <c r="B264" t="s">
        <v>379</v>
      </c>
      <c r="C264" t="s">
        <v>12</v>
      </c>
      <c r="D264" s="3" t="s">
        <v>13</v>
      </c>
      <c r="E264">
        <v>23.20000076293945</v>
      </c>
      <c r="F264" s="9"/>
      <c r="I264" s="3">
        <v>1400905</v>
      </c>
      <c r="J264" t="s">
        <v>380</v>
      </c>
      <c r="K264">
        <v>0</v>
      </c>
      <c r="L264">
        <v>0</v>
      </c>
      <c r="M264">
        <v>0</v>
      </c>
    </row>
    <row r="265" spans="1:17" ht="15.75" thickTop="1" thickBot="1" x14ac:dyDescent="0.25">
      <c r="A265" t="s">
        <v>364</v>
      </c>
      <c r="B265" t="s">
        <v>379</v>
      </c>
      <c r="C265" t="s">
        <v>12</v>
      </c>
      <c r="D265" s="3" t="s">
        <v>15</v>
      </c>
      <c r="E265">
        <v>23.20000076293945</v>
      </c>
      <c r="F265" s="9"/>
      <c r="I265" s="3">
        <v>1400905</v>
      </c>
      <c r="J265" t="s">
        <v>23</v>
      </c>
      <c r="K265">
        <v>0</v>
      </c>
      <c r="L265">
        <v>0</v>
      </c>
      <c r="M265">
        <v>0</v>
      </c>
      <c r="N265" s="16">
        <f>E265-E249</f>
        <v>-9.9998474121100855E-2</v>
      </c>
      <c r="Q265" s="27" t="s">
        <v>524</v>
      </c>
    </row>
    <row r="266" spans="1:17" ht="15.75" thickTop="1" thickBot="1" x14ac:dyDescent="0.25">
      <c r="A266" s="2" t="s">
        <v>364</v>
      </c>
      <c r="B266" s="2" t="s">
        <v>379</v>
      </c>
      <c r="C266" s="2" t="s">
        <v>12</v>
      </c>
      <c r="D266" s="4" t="s">
        <v>19</v>
      </c>
      <c r="E266" s="2">
        <v>23.20000076293945</v>
      </c>
      <c r="F266" s="12">
        <v>23.5</v>
      </c>
      <c r="G266" s="20"/>
      <c r="H266" s="20"/>
      <c r="I266" s="4">
        <v>1400905</v>
      </c>
      <c r="J266" s="2" t="s">
        <v>20</v>
      </c>
      <c r="K266" s="2">
        <v>0</v>
      </c>
      <c r="L266" s="2">
        <v>0</v>
      </c>
      <c r="M266" s="2">
        <v>0</v>
      </c>
    </row>
    <row r="267" spans="1:17" ht="15.75" thickTop="1" thickBot="1" x14ac:dyDescent="0.25">
      <c r="A267" t="s">
        <v>381</v>
      </c>
      <c r="B267" t="s">
        <v>382</v>
      </c>
      <c r="C267" t="s">
        <v>12</v>
      </c>
      <c r="D267" t="s">
        <v>13</v>
      </c>
      <c r="E267" s="5">
        <v>23</v>
      </c>
      <c r="F267" s="8"/>
      <c r="G267" s="24">
        <f>E267-E261</f>
        <v>-0.29999923706055043</v>
      </c>
      <c r="I267">
        <v>1134943</v>
      </c>
      <c r="J267" t="s">
        <v>383</v>
      </c>
      <c r="K267">
        <v>-2.1739130434782612</v>
      </c>
      <c r="L267">
        <v>-1.304344508958899</v>
      </c>
      <c r="M267">
        <v>-1.304344508958899</v>
      </c>
      <c r="N267" s="16">
        <f>E267-E249</f>
        <v>-0.29999923706055043</v>
      </c>
    </row>
    <row r="268" spans="1:17" ht="15" thickTop="1" x14ac:dyDescent="0.2">
      <c r="A268" t="s">
        <v>381</v>
      </c>
      <c r="B268" t="s">
        <v>384</v>
      </c>
      <c r="C268" t="s">
        <v>12</v>
      </c>
      <c r="D268" t="s">
        <v>13</v>
      </c>
      <c r="E268">
        <v>22.5</v>
      </c>
      <c r="F268" s="8"/>
      <c r="I268" s="3">
        <v>1690225</v>
      </c>
      <c r="J268" t="s">
        <v>385</v>
      </c>
      <c r="K268">
        <v>0</v>
      </c>
      <c r="L268">
        <v>0.88889227973090279</v>
      </c>
      <c r="M268">
        <v>0.88889227973090279</v>
      </c>
    </row>
    <row r="269" spans="1:17" x14ac:dyDescent="0.2">
      <c r="A269" t="s">
        <v>381</v>
      </c>
      <c r="B269" t="s">
        <v>384</v>
      </c>
      <c r="C269" t="s">
        <v>12</v>
      </c>
      <c r="D269" t="s">
        <v>15</v>
      </c>
      <c r="E269">
        <v>22.5</v>
      </c>
      <c r="F269" s="8"/>
      <c r="I269" s="3">
        <v>1690225</v>
      </c>
      <c r="J269" t="s">
        <v>188</v>
      </c>
      <c r="K269">
        <v>0</v>
      </c>
      <c r="L269">
        <v>0.88889227973090279</v>
      </c>
      <c r="M269">
        <v>0.88889227973090279</v>
      </c>
    </row>
    <row r="270" spans="1:17" ht="15" thickBot="1" x14ac:dyDescent="0.25">
      <c r="A270" t="s">
        <v>381</v>
      </c>
      <c r="B270" t="s">
        <v>386</v>
      </c>
      <c r="C270" t="s">
        <v>12</v>
      </c>
      <c r="D270" t="s">
        <v>13</v>
      </c>
      <c r="E270">
        <v>22.5</v>
      </c>
      <c r="F270" s="8"/>
      <c r="H270" s="22"/>
      <c r="I270" s="3">
        <v>1756033</v>
      </c>
      <c r="J270" t="s">
        <v>387</v>
      </c>
      <c r="K270">
        <v>0.88889227973090279</v>
      </c>
      <c r="L270">
        <v>1.333329942491319</v>
      </c>
      <c r="M270">
        <v>0.88889227973090279</v>
      </c>
    </row>
    <row r="271" spans="1:17" ht="15.75" thickTop="1" thickBot="1" x14ac:dyDescent="0.25">
      <c r="A271" t="s">
        <v>381</v>
      </c>
      <c r="B271" t="s">
        <v>386</v>
      </c>
      <c r="C271" t="s">
        <v>12</v>
      </c>
      <c r="D271" t="s">
        <v>19</v>
      </c>
      <c r="E271">
        <v>22.5</v>
      </c>
      <c r="F271" s="8"/>
      <c r="H271" s="22">
        <f>E271-E260</f>
        <v>-0.70000076293944957</v>
      </c>
      <c r="I271" s="3">
        <v>1756033</v>
      </c>
      <c r="J271" t="s">
        <v>20</v>
      </c>
      <c r="K271">
        <v>0.88889227973090279</v>
      </c>
      <c r="L271">
        <v>1.333329942491319</v>
      </c>
      <c r="M271">
        <v>0.88889227973090279</v>
      </c>
      <c r="O271" s="16">
        <f>E271-E259</f>
        <v>-0.5</v>
      </c>
    </row>
    <row r="272" spans="1:17" ht="15" thickTop="1" x14ac:dyDescent="0.2">
      <c r="A272" t="s">
        <v>381</v>
      </c>
      <c r="B272" t="s">
        <v>388</v>
      </c>
      <c r="C272" t="s">
        <v>12</v>
      </c>
      <c r="D272" t="s">
        <v>13</v>
      </c>
      <c r="E272">
        <v>22.5</v>
      </c>
      <c r="F272" s="8"/>
      <c r="I272">
        <v>633700</v>
      </c>
      <c r="J272" t="s">
        <v>389</v>
      </c>
      <c r="K272">
        <v>0.4444461398654514</v>
      </c>
      <c r="L272">
        <v>0</v>
      </c>
      <c r="M272">
        <v>0</v>
      </c>
    </row>
    <row r="273" spans="1:17" x14ac:dyDescent="0.2">
      <c r="A273" t="s">
        <v>381</v>
      </c>
      <c r="B273" t="s">
        <v>390</v>
      </c>
      <c r="C273" t="s">
        <v>12</v>
      </c>
      <c r="D273" t="s">
        <v>13</v>
      </c>
      <c r="E273">
        <v>22.5</v>
      </c>
      <c r="F273" s="8"/>
      <c r="I273">
        <v>615100</v>
      </c>
      <c r="J273" t="s">
        <v>391</v>
      </c>
      <c r="K273">
        <v>0</v>
      </c>
      <c r="L273">
        <v>-0.4444461398654514</v>
      </c>
      <c r="M273">
        <v>-0.88889227973090279</v>
      </c>
    </row>
    <row r="274" spans="1:17" x14ac:dyDescent="0.2">
      <c r="A274" t="s">
        <v>381</v>
      </c>
      <c r="B274" t="s">
        <v>392</v>
      </c>
      <c r="C274" t="s">
        <v>12</v>
      </c>
      <c r="D274" t="s">
        <v>13</v>
      </c>
      <c r="E274">
        <v>22.39999961853027</v>
      </c>
      <c r="F274" s="8"/>
      <c r="I274">
        <v>747400</v>
      </c>
      <c r="J274" t="s">
        <v>393</v>
      </c>
      <c r="K274">
        <v>0</v>
      </c>
      <c r="L274">
        <v>0</v>
      </c>
      <c r="M274">
        <v>-0.89285204909277049</v>
      </c>
    </row>
    <row r="275" spans="1:17" x14ac:dyDescent="0.2">
      <c r="A275" t="s">
        <v>381</v>
      </c>
      <c r="B275" t="s">
        <v>394</v>
      </c>
      <c r="C275" t="s">
        <v>12</v>
      </c>
      <c r="D275" t="s">
        <v>13</v>
      </c>
      <c r="E275" s="6">
        <v>22.29999923706055</v>
      </c>
      <c r="F275" s="8"/>
      <c r="I275">
        <v>886400</v>
      </c>
      <c r="J275" t="s">
        <v>395</v>
      </c>
      <c r="K275">
        <v>0</v>
      </c>
      <c r="L275">
        <v>-0.89685588535106597</v>
      </c>
      <c r="M275">
        <v>0</v>
      </c>
    </row>
    <row r="276" spans="1:17" ht="15" thickBot="1" x14ac:dyDescent="0.25">
      <c r="A276" s="2" t="s">
        <v>381</v>
      </c>
      <c r="B276" s="2" t="s">
        <v>396</v>
      </c>
      <c r="C276" s="2" t="s">
        <v>12</v>
      </c>
      <c r="D276" s="2" t="s">
        <v>13</v>
      </c>
      <c r="E276" s="2">
        <v>22.39999961853027</v>
      </c>
      <c r="F276" s="13">
        <v>22.2</v>
      </c>
      <c r="G276" s="20"/>
      <c r="H276" s="20"/>
      <c r="I276" s="2">
        <v>812201</v>
      </c>
      <c r="J276" s="2" t="s">
        <v>397</v>
      </c>
      <c r="K276" s="2">
        <v>-0.89285204909277049</v>
      </c>
      <c r="L276" s="2">
        <v>-0.89285204909277049</v>
      </c>
      <c r="M276" s="2">
        <v>0</v>
      </c>
    </row>
    <row r="277" spans="1:17" ht="15.75" thickTop="1" thickBot="1" x14ac:dyDescent="0.25">
      <c r="A277" t="s">
        <v>398</v>
      </c>
      <c r="B277" t="s">
        <v>399</v>
      </c>
      <c r="C277" t="s">
        <v>12</v>
      </c>
      <c r="D277" t="s">
        <v>15</v>
      </c>
      <c r="E277" s="5">
        <v>22.29999923706055</v>
      </c>
      <c r="F277" s="8"/>
      <c r="G277" s="24">
        <f>E277-E267</f>
        <v>-0.70000076293944957</v>
      </c>
      <c r="H277" s="22">
        <f>E277-E271</f>
        <v>-0.20000076293944957</v>
      </c>
      <c r="I277">
        <v>0</v>
      </c>
      <c r="J277" t="s">
        <v>342</v>
      </c>
      <c r="K277" s="8">
        <v>-0.44842366610894541</v>
      </c>
      <c r="L277" s="9">
        <v>0.44843221924212062</v>
      </c>
      <c r="M277">
        <v>0</v>
      </c>
      <c r="P277" s="16" t="s">
        <v>521</v>
      </c>
      <c r="Q277" s="28" t="s">
        <v>539</v>
      </c>
    </row>
    <row r="278" spans="1:17" ht="15.75" thickTop="1" thickBot="1" x14ac:dyDescent="0.25">
      <c r="A278" t="s">
        <v>398</v>
      </c>
      <c r="B278" t="s">
        <v>400</v>
      </c>
      <c r="C278" t="s">
        <v>12</v>
      </c>
      <c r="D278" t="s">
        <v>15</v>
      </c>
      <c r="E278">
        <v>22.20000076293945</v>
      </c>
      <c r="F278" s="8"/>
      <c r="I278">
        <v>1029</v>
      </c>
      <c r="J278" t="s">
        <v>401</v>
      </c>
      <c r="K278">
        <v>-1.801808613208097</v>
      </c>
      <c r="L278">
        <v>-0.9009043066040483</v>
      </c>
      <c r="M278">
        <v>-0.9009043066040483</v>
      </c>
      <c r="N278" s="16">
        <f>E278-E267</f>
        <v>-0.79999923706055043</v>
      </c>
    </row>
    <row r="279" spans="1:17" ht="15" thickTop="1" x14ac:dyDescent="0.2">
      <c r="A279" t="s">
        <v>398</v>
      </c>
      <c r="B279" t="s">
        <v>402</v>
      </c>
      <c r="C279" t="s">
        <v>12</v>
      </c>
      <c r="D279" t="s">
        <v>13</v>
      </c>
      <c r="E279">
        <v>21.89999961853027</v>
      </c>
      <c r="F279" s="8"/>
      <c r="G279" s="24"/>
      <c r="H279" s="22"/>
      <c r="I279" s="3">
        <v>1128933</v>
      </c>
      <c r="J279" t="s">
        <v>403</v>
      </c>
      <c r="K279" s="8">
        <v>-0.45662275439088651</v>
      </c>
      <c r="L279">
        <v>0</v>
      </c>
      <c r="M279" s="9">
        <v>0.45662275439088651</v>
      </c>
      <c r="P279" s="28" t="s">
        <v>539</v>
      </c>
    </row>
    <row r="280" spans="1:17" x14ac:dyDescent="0.2">
      <c r="A280" t="s">
        <v>398</v>
      </c>
      <c r="B280" t="s">
        <v>402</v>
      </c>
      <c r="C280" t="s">
        <v>12</v>
      </c>
      <c r="D280" t="s">
        <v>15</v>
      </c>
      <c r="E280">
        <v>21.89999961853027</v>
      </c>
      <c r="F280" s="8"/>
      <c r="G280" s="24"/>
      <c r="H280" s="22"/>
      <c r="I280" s="3">
        <v>1128933</v>
      </c>
      <c r="J280" t="s">
        <v>404</v>
      </c>
      <c r="K280" s="8">
        <v>-0.45662275439088651</v>
      </c>
      <c r="L280">
        <v>0</v>
      </c>
      <c r="M280" s="9">
        <v>0.45662275439088651</v>
      </c>
      <c r="P280" s="28" t="s">
        <v>539</v>
      </c>
    </row>
    <row r="281" spans="1:17" x14ac:dyDescent="0.2">
      <c r="A281" t="s">
        <v>398</v>
      </c>
      <c r="B281" t="s">
        <v>405</v>
      </c>
      <c r="C281" t="s">
        <v>12</v>
      </c>
      <c r="D281" t="s">
        <v>15</v>
      </c>
      <c r="E281">
        <v>21.89999961853027</v>
      </c>
      <c r="F281" s="8"/>
      <c r="G281" s="24">
        <f>E281-E277</f>
        <v>-0.39999961853028054</v>
      </c>
      <c r="H281" s="22">
        <f>E281-E277</f>
        <v>-0.39999961853028054</v>
      </c>
      <c r="I281">
        <v>328200</v>
      </c>
      <c r="J281" t="s">
        <v>79</v>
      </c>
      <c r="K281" s="8">
        <v>-0.45662275439088651</v>
      </c>
      <c r="L281" s="8">
        <v>-0.45662275439088651</v>
      </c>
      <c r="M281" s="9">
        <v>0.45662275439088651</v>
      </c>
      <c r="P281" s="28" t="s">
        <v>539</v>
      </c>
    </row>
    <row r="282" spans="1:17" x14ac:dyDescent="0.2">
      <c r="A282" t="s">
        <v>398</v>
      </c>
      <c r="B282" t="s">
        <v>406</v>
      </c>
      <c r="C282" t="s">
        <v>12</v>
      </c>
      <c r="D282" t="s">
        <v>13</v>
      </c>
      <c r="E282" s="6">
        <v>21.79999923706055</v>
      </c>
      <c r="F282" s="8"/>
      <c r="H282" s="22"/>
      <c r="I282" s="3">
        <v>2209205</v>
      </c>
      <c r="J282" t="s">
        <v>407</v>
      </c>
      <c r="K282">
        <v>0.91743472449047969</v>
      </c>
      <c r="L282">
        <v>0.45871736224523979</v>
      </c>
      <c r="M282">
        <v>0.91743472449047969</v>
      </c>
    </row>
    <row r="283" spans="1:17" x14ac:dyDescent="0.2">
      <c r="A283" t="s">
        <v>398</v>
      </c>
      <c r="B283" t="s">
        <v>406</v>
      </c>
      <c r="C283" t="s">
        <v>12</v>
      </c>
      <c r="D283" t="s">
        <v>15</v>
      </c>
      <c r="E283" s="6">
        <v>21.79999923706055</v>
      </c>
      <c r="F283" s="8"/>
      <c r="H283" s="22">
        <f>E283-E281</f>
        <v>-0.10000038146971946</v>
      </c>
      <c r="I283" s="3">
        <v>2209205</v>
      </c>
      <c r="J283" t="s">
        <v>49</v>
      </c>
      <c r="K283">
        <v>0.91743472449047969</v>
      </c>
      <c r="L283">
        <v>0.45871736224523979</v>
      </c>
      <c r="M283">
        <v>0.91743472449047969</v>
      </c>
    </row>
    <row r="284" spans="1:17" x14ac:dyDescent="0.2">
      <c r="A284" t="s">
        <v>398</v>
      </c>
      <c r="B284" t="s">
        <v>408</v>
      </c>
      <c r="C284" t="s">
        <v>12</v>
      </c>
      <c r="D284" t="s">
        <v>15</v>
      </c>
      <c r="E284">
        <v>22</v>
      </c>
      <c r="F284" s="8"/>
      <c r="I284">
        <v>517904</v>
      </c>
      <c r="J284" t="s">
        <v>34</v>
      </c>
      <c r="K284">
        <v>-0.45454718849875708</v>
      </c>
      <c r="L284">
        <v>0</v>
      </c>
      <c r="M284">
        <v>0</v>
      </c>
    </row>
    <row r="285" spans="1:17" x14ac:dyDescent="0.2">
      <c r="A285" t="s">
        <v>398</v>
      </c>
      <c r="B285" t="s">
        <v>409</v>
      </c>
      <c r="C285" t="s">
        <v>12</v>
      </c>
      <c r="D285" s="3" t="s">
        <v>13</v>
      </c>
      <c r="E285">
        <v>22</v>
      </c>
      <c r="F285" s="8"/>
      <c r="I285" s="3">
        <v>686200</v>
      </c>
      <c r="J285" t="s">
        <v>410</v>
      </c>
      <c r="K285" s="10">
        <v>0.45454718849875708</v>
      </c>
      <c r="L285">
        <v>0</v>
      </c>
      <c r="M285" s="10">
        <v>0.90909437699751416</v>
      </c>
    </row>
    <row r="286" spans="1:17" ht="15" thickBot="1" x14ac:dyDescent="0.25">
      <c r="A286" t="s">
        <v>398</v>
      </c>
      <c r="B286" t="s">
        <v>409</v>
      </c>
      <c r="C286" t="s">
        <v>12</v>
      </c>
      <c r="D286" s="3" t="s">
        <v>15</v>
      </c>
      <c r="E286">
        <v>22</v>
      </c>
      <c r="F286" s="8"/>
      <c r="I286" s="3">
        <v>686200</v>
      </c>
      <c r="J286" t="s">
        <v>25</v>
      </c>
      <c r="K286" s="10">
        <v>0.45454718849875708</v>
      </c>
      <c r="L286">
        <v>0</v>
      </c>
      <c r="M286" s="10">
        <v>0.90909437699751416</v>
      </c>
    </row>
    <row r="287" spans="1:17" ht="15.75" thickTop="1" thickBot="1" x14ac:dyDescent="0.25">
      <c r="A287" t="s">
        <v>398</v>
      </c>
      <c r="B287" t="s">
        <v>409</v>
      </c>
      <c r="C287" t="s">
        <v>12</v>
      </c>
      <c r="D287" s="3" t="s">
        <v>19</v>
      </c>
      <c r="E287">
        <v>22</v>
      </c>
      <c r="F287" s="8"/>
      <c r="I287" s="3">
        <v>686200</v>
      </c>
      <c r="J287" t="s">
        <v>20</v>
      </c>
      <c r="K287" s="10">
        <v>0.45454718849875708</v>
      </c>
      <c r="L287">
        <v>0</v>
      </c>
      <c r="M287" s="10">
        <v>0.90909437699751416</v>
      </c>
      <c r="N287" s="16">
        <f>E287-E271</f>
        <v>-0.5</v>
      </c>
    </row>
    <row r="288" spans="1:17" ht="15.75" thickTop="1" thickBot="1" x14ac:dyDescent="0.25">
      <c r="A288" s="2" t="s">
        <v>398</v>
      </c>
      <c r="B288" s="2" t="s">
        <v>411</v>
      </c>
      <c r="C288" s="2" t="s">
        <v>12</v>
      </c>
      <c r="D288" s="2" t="s">
        <v>15</v>
      </c>
      <c r="E288" s="2">
        <v>21.89999961853027</v>
      </c>
      <c r="F288" s="13">
        <v>21.9</v>
      </c>
      <c r="G288" s="20"/>
      <c r="H288" s="21">
        <f>E288-E283</f>
        <v>0.10000038146971946</v>
      </c>
      <c r="I288" s="2">
        <v>386125</v>
      </c>
      <c r="J288" s="2" t="s">
        <v>23</v>
      </c>
      <c r="K288" s="2">
        <v>1.8264823082089059</v>
      </c>
      <c r="L288" s="2">
        <v>0.91324550878177302</v>
      </c>
      <c r="M288" s="2">
        <v>0.45662275439088651</v>
      </c>
      <c r="O288" s="16">
        <f>E288-E271</f>
        <v>-0.60000038146973012</v>
      </c>
    </row>
    <row r="289" spans="1:17" ht="15" thickTop="1" x14ac:dyDescent="0.2">
      <c r="A289" t="s">
        <v>412</v>
      </c>
      <c r="B289" t="s">
        <v>413</v>
      </c>
      <c r="C289" t="s">
        <v>12</v>
      </c>
      <c r="D289" t="s">
        <v>15</v>
      </c>
      <c r="E289" s="5">
        <v>22.29999923706055</v>
      </c>
      <c r="F289" s="8"/>
      <c r="G289" s="23"/>
      <c r="I289">
        <v>0</v>
      </c>
      <c r="J289" t="s">
        <v>28</v>
      </c>
      <c r="K289">
        <v>-0.89685588535106597</v>
      </c>
      <c r="L289">
        <v>-0.89685588535106597</v>
      </c>
      <c r="M289">
        <v>-0.89685588535106597</v>
      </c>
    </row>
    <row r="290" spans="1:17" x14ac:dyDescent="0.2">
      <c r="A290" t="s">
        <v>412</v>
      </c>
      <c r="B290" t="s">
        <v>414</v>
      </c>
      <c r="C290" t="s">
        <v>12</v>
      </c>
      <c r="D290" t="s">
        <v>13</v>
      </c>
      <c r="E290" s="5">
        <v>22.29999923706055</v>
      </c>
      <c r="F290" s="8"/>
      <c r="G290" s="23"/>
      <c r="I290" s="3">
        <v>833813</v>
      </c>
      <c r="J290" t="s">
        <v>415</v>
      </c>
      <c r="K290">
        <v>-1.3452881045931859</v>
      </c>
      <c r="L290">
        <v>-1.3452881045931859</v>
      </c>
      <c r="M290">
        <v>-1.793720323835307</v>
      </c>
    </row>
    <row r="291" spans="1:17" x14ac:dyDescent="0.2">
      <c r="A291" t="s">
        <v>412</v>
      </c>
      <c r="B291" t="s">
        <v>414</v>
      </c>
      <c r="C291" t="s">
        <v>12</v>
      </c>
      <c r="D291" t="s">
        <v>19</v>
      </c>
      <c r="E291" s="5">
        <v>22.29999923706055</v>
      </c>
      <c r="F291" s="8"/>
      <c r="G291" s="23">
        <f>E291-E281</f>
        <v>0.39999961853028054</v>
      </c>
      <c r="I291" s="3">
        <v>833813</v>
      </c>
      <c r="J291" t="s">
        <v>20</v>
      </c>
      <c r="K291">
        <v>-1.3452881045931859</v>
      </c>
      <c r="L291">
        <v>-1.3452881045931859</v>
      </c>
      <c r="M291">
        <v>-1.793720323835307</v>
      </c>
      <c r="N291" s="15">
        <f>E291-E278</f>
        <v>9.9998474121100855E-2</v>
      </c>
    </row>
    <row r="292" spans="1:17" x14ac:dyDescent="0.2">
      <c r="A292" t="s">
        <v>412</v>
      </c>
      <c r="B292" t="s">
        <v>416</v>
      </c>
      <c r="C292" t="s">
        <v>12</v>
      </c>
      <c r="D292" t="s">
        <v>13</v>
      </c>
      <c r="E292" s="6">
        <v>21.89999961853027</v>
      </c>
      <c r="F292" s="8"/>
      <c r="H292" s="19"/>
      <c r="I292" s="3">
        <v>636600</v>
      </c>
      <c r="J292" t="s">
        <v>417</v>
      </c>
      <c r="K292">
        <v>0</v>
      </c>
      <c r="L292">
        <v>0.45662275439088651</v>
      </c>
      <c r="M292">
        <v>0</v>
      </c>
    </row>
    <row r="293" spans="1:17" x14ac:dyDescent="0.2">
      <c r="A293" t="s">
        <v>412</v>
      </c>
      <c r="B293" t="s">
        <v>416</v>
      </c>
      <c r="C293" t="s">
        <v>12</v>
      </c>
      <c r="D293" t="s">
        <v>19</v>
      </c>
      <c r="E293" s="6">
        <v>21.89999961853027</v>
      </c>
      <c r="F293" s="8"/>
      <c r="H293" s="19">
        <f>E293-E288</f>
        <v>0</v>
      </c>
      <c r="I293" s="3">
        <v>636600</v>
      </c>
      <c r="J293" t="s">
        <v>20</v>
      </c>
      <c r="K293">
        <v>0</v>
      </c>
      <c r="L293">
        <v>0.45662275439088651</v>
      </c>
      <c r="M293">
        <v>0</v>
      </c>
    </row>
    <row r="294" spans="1:17" x14ac:dyDescent="0.2">
      <c r="A294" t="s">
        <v>412</v>
      </c>
      <c r="B294" t="s">
        <v>418</v>
      </c>
      <c r="C294" t="s">
        <v>12</v>
      </c>
      <c r="D294" t="s">
        <v>13</v>
      </c>
      <c r="E294">
        <v>22</v>
      </c>
      <c r="F294" s="8"/>
      <c r="I294" s="3">
        <v>898500</v>
      </c>
      <c r="J294" t="s">
        <v>419</v>
      </c>
      <c r="K294">
        <v>0</v>
      </c>
      <c r="L294">
        <v>-0.45454718849875708</v>
      </c>
      <c r="M294">
        <v>-0.90909437699751416</v>
      </c>
    </row>
    <row r="295" spans="1:17" x14ac:dyDescent="0.2">
      <c r="A295" t="s">
        <v>412</v>
      </c>
      <c r="B295" t="s">
        <v>418</v>
      </c>
      <c r="C295" t="s">
        <v>12</v>
      </c>
      <c r="D295" t="s">
        <v>19</v>
      </c>
      <c r="E295">
        <v>22</v>
      </c>
      <c r="F295" s="8"/>
      <c r="I295" s="3">
        <v>898500</v>
      </c>
      <c r="J295" t="s">
        <v>20</v>
      </c>
      <c r="K295">
        <v>0</v>
      </c>
      <c r="L295">
        <v>-0.45454718849875708</v>
      </c>
      <c r="M295">
        <v>-0.90909437699751416</v>
      </c>
    </row>
    <row r="296" spans="1:17" x14ac:dyDescent="0.2">
      <c r="A296" t="s">
        <v>412</v>
      </c>
      <c r="B296" t="s">
        <v>420</v>
      </c>
      <c r="C296" t="s">
        <v>12</v>
      </c>
      <c r="D296" t="s">
        <v>13</v>
      </c>
      <c r="E296">
        <v>22</v>
      </c>
      <c r="F296" s="8"/>
      <c r="I296">
        <v>834605</v>
      </c>
      <c r="J296" t="s">
        <v>421</v>
      </c>
      <c r="K296">
        <v>0</v>
      </c>
      <c r="L296">
        <v>-0.45454718849875708</v>
      </c>
      <c r="M296">
        <v>0</v>
      </c>
    </row>
    <row r="297" spans="1:17" ht="15" thickBot="1" x14ac:dyDescent="0.25">
      <c r="A297" t="s">
        <v>412</v>
      </c>
      <c r="B297" t="s">
        <v>422</v>
      </c>
      <c r="C297" t="s">
        <v>12</v>
      </c>
      <c r="D297" t="s">
        <v>15</v>
      </c>
      <c r="E297">
        <v>22</v>
      </c>
      <c r="F297" s="8"/>
      <c r="I297">
        <v>443800</v>
      </c>
      <c r="J297" t="s">
        <v>49</v>
      </c>
      <c r="K297">
        <v>-0.45454718849875708</v>
      </c>
      <c r="L297">
        <v>-0.45454718849875708</v>
      </c>
      <c r="M297">
        <v>-0.45454718849875708</v>
      </c>
    </row>
    <row r="298" spans="1:17" ht="15.75" thickTop="1" thickBot="1" x14ac:dyDescent="0.25">
      <c r="A298" t="s">
        <v>412</v>
      </c>
      <c r="B298" t="s">
        <v>423</v>
      </c>
      <c r="C298" t="s">
        <v>12</v>
      </c>
      <c r="D298" t="s">
        <v>15</v>
      </c>
      <c r="E298" s="6">
        <v>21.89999961853027</v>
      </c>
      <c r="F298" s="8"/>
      <c r="G298" s="24">
        <f>E298-E291</f>
        <v>-0.39999961853028054</v>
      </c>
      <c r="H298" s="19">
        <f>E298-E293</f>
        <v>0</v>
      </c>
      <c r="I298">
        <v>529755</v>
      </c>
      <c r="J298" t="s">
        <v>16</v>
      </c>
      <c r="K298">
        <v>1.3698682631726591</v>
      </c>
      <c r="L298" s="8">
        <v>-0.45662275439088651</v>
      </c>
      <c r="M298" s="8">
        <v>-0.45662275439088651</v>
      </c>
      <c r="O298" s="16">
        <f>E298-E288</f>
        <v>0</v>
      </c>
      <c r="P298" s="27" t="s">
        <v>522</v>
      </c>
      <c r="Q298" s="28" t="s">
        <v>540</v>
      </c>
    </row>
    <row r="299" spans="1:17" ht="15.75" thickTop="1" thickBot="1" x14ac:dyDescent="0.25">
      <c r="A299" t="s">
        <v>412</v>
      </c>
      <c r="B299" t="s">
        <v>424</v>
      </c>
      <c r="C299" t="s">
        <v>12</v>
      </c>
      <c r="D299" t="s">
        <v>13</v>
      </c>
      <c r="E299">
        <v>22.20000076293945</v>
      </c>
      <c r="F299" s="8"/>
      <c r="G299" s="23"/>
      <c r="I299" s="3">
        <v>1442942</v>
      </c>
      <c r="J299" t="s">
        <v>425</v>
      </c>
      <c r="K299">
        <v>-1.801808613208097</v>
      </c>
      <c r="L299">
        <v>-1.351356459906073</v>
      </c>
      <c r="M299">
        <v>-1.351356459906073</v>
      </c>
    </row>
    <row r="300" spans="1:17" ht="15.75" thickTop="1" thickBot="1" x14ac:dyDescent="0.25">
      <c r="A300" t="s">
        <v>412</v>
      </c>
      <c r="B300" t="s">
        <v>424</v>
      </c>
      <c r="C300" t="s">
        <v>12</v>
      </c>
      <c r="D300" t="s">
        <v>15</v>
      </c>
      <c r="E300">
        <v>22.20000076293945</v>
      </c>
      <c r="F300" s="8"/>
      <c r="G300" s="23">
        <f>E300-E298</f>
        <v>0.30000114440917969</v>
      </c>
      <c r="I300" s="3">
        <v>1442942</v>
      </c>
      <c r="J300" t="s">
        <v>426</v>
      </c>
      <c r="K300">
        <v>-1.801808613208097</v>
      </c>
      <c r="L300">
        <v>-1.351356459906073</v>
      </c>
      <c r="M300">
        <v>-1.351356459906073</v>
      </c>
      <c r="N300" s="16">
        <f>E300-E291</f>
        <v>-9.9998474121100855E-2</v>
      </c>
    </row>
    <row r="301" spans="1:17" ht="15.75" thickTop="1" thickBot="1" x14ac:dyDescent="0.25">
      <c r="A301" t="s">
        <v>412</v>
      </c>
      <c r="B301" t="s">
        <v>427</v>
      </c>
      <c r="C301" t="s">
        <v>12</v>
      </c>
      <c r="D301" t="s">
        <v>15</v>
      </c>
      <c r="E301" s="6">
        <v>21.89999961853027</v>
      </c>
      <c r="F301" s="8"/>
      <c r="G301" s="24">
        <f>E301-E300</f>
        <v>-0.30000114440917969</v>
      </c>
      <c r="I301">
        <v>830752</v>
      </c>
      <c r="J301" t="s">
        <v>366</v>
      </c>
      <c r="K301">
        <v>-0.91323679942713343</v>
      </c>
      <c r="L301">
        <v>0</v>
      </c>
      <c r="M301">
        <v>-0.45662275439088651</v>
      </c>
      <c r="P301" s="27" t="s">
        <v>522</v>
      </c>
    </row>
    <row r="302" spans="1:17" ht="15" thickTop="1" x14ac:dyDescent="0.2">
      <c r="A302" s="2" t="s">
        <v>412</v>
      </c>
      <c r="B302" s="2" t="s">
        <v>428</v>
      </c>
      <c r="C302" s="2" t="s">
        <v>12</v>
      </c>
      <c r="D302" s="2" t="s">
        <v>15</v>
      </c>
      <c r="E302" s="2">
        <v>22</v>
      </c>
      <c r="F302" s="13">
        <v>21.7</v>
      </c>
      <c r="G302" s="20"/>
      <c r="H302" s="20"/>
      <c r="I302" s="2">
        <v>651303</v>
      </c>
      <c r="J302" s="2" t="s">
        <v>342</v>
      </c>
      <c r="K302" s="2">
        <v>-0.45454718849875708</v>
      </c>
      <c r="L302" s="2">
        <v>-0.90909437699751416</v>
      </c>
      <c r="M302" s="2">
        <v>-0.90909437699751416</v>
      </c>
    </row>
    <row r="303" spans="1:17" x14ac:dyDescent="0.2">
      <c r="A303" t="s">
        <v>429</v>
      </c>
      <c r="B303" t="s">
        <v>430</v>
      </c>
      <c r="C303" t="s">
        <v>12</v>
      </c>
      <c r="D303" t="s">
        <v>13</v>
      </c>
      <c r="E303">
        <v>21.60000038146973</v>
      </c>
      <c r="F303" s="9"/>
      <c r="G303" s="24"/>
      <c r="H303" s="22"/>
      <c r="I303">
        <v>1600751</v>
      </c>
      <c r="J303" t="s">
        <v>431</v>
      </c>
      <c r="K303" s="9">
        <v>0.46296472085026058</v>
      </c>
      <c r="L303" s="8">
        <v>-0.46296472085026058</v>
      </c>
      <c r="M303" s="9">
        <v>0.46296472085026058</v>
      </c>
      <c r="P303" s="28" t="s">
        <v>540</v>
      </c>
    </row>
    <row r="304" spans="1:17" x14ac:dyDescent="0.2">
      <c r="A304" t="s">
        <v>429</v>
      </c>
      <c r="B304" t="s">
        <v>432</v>
      </c>
      <c r="C304" t="s">
        <v>12</v>
      </c>
      <c r="D304" t="s">
        <v>13</v>
      </c>
      <c r="E304">
        <v>21.60000038146973</v>
      </c>
      <c r="F304" s="9"/>
      <c r="G304" s="24"/>
      <c r="H304" s="22"/>
      <c r="I304" s="3">
        <v>531102</v>
      </c>
      <c r="J304" t="s">
        <v>433</v>
      </c>
      <c r="K304" s="9">
        <v>0.46296472085026058</v>
      </c>
      <c r="L304">
        <v>0</v>
      </c>
      <c r="M304" s="8">
        <v>-0.46296472085026058</v>
      </c>
      <c r="P304" s="28" t="s">
        <v>540</v>
      </c>
    </row>
    <row r="305" spans="1:17" x14ac:dyDescent="0.2">
      <c r="A305" t="s">
        <v>429</v>
      </c>
      <c r="B305" t="s">
        <v>432</v>
      </c>
      <c r="C305" t="s">
        <v>12</v>
      </c>
      <c r="D305" t="s">
        <v>19</v>
      </c>
      <c r="E305">
        <v>21.60000038146973</v>
      </c>
      <c r="F305" s="9"/>
      <c r="G305" s="24">
        <f>E305-E301</f>
        <v>-0.29999923706053977</v>
      </c>
      <c r="H305" s="22">
        <f>E305-E298</f>
        <v>-0.29999923706053977</v>
      </c>
      <c r="I305" s="3">
        <v>531102</v>
      </c>
      <c r="J305" t="s">
        <v>20</v>
      </c>
      <c r="K305" s="9">
        <v>0.46296472085026058</v>
      </c>
      <c r="L305">
        <v>0</v>
      </c>
      <c r="M305" s="8">
        <v>-0.46296472085026058</v>
      </c>
      <c r="P305" s="28" t="s">
        <v>540</v>
      </c>
    </row>
    <row r="306" spans="1:17" ht="15" thickBot="1" x14ac:dyDescent="0.25">
      <c r="A306" t="s">
        <v>429</v>
      </c>
      <c r="B306" t="s">
        <v>434</v>
      </c>
      <c r="C306" t="s">
        <v>12</v>
      </c>
      <c r="D306" t="s">
        <v>13</v>
      </c>
      <c r="E306" s="5">
        <v>21.79999923706055</v>
      </c>
      <c r="F306" s="9"/>
      <c r="G306" s="23"/>
      <c r="I306" s="3">
        <v>1664900</v>
      </c>
      <c r="J306" t="s">
        <v>435</v>
      </c>
      <c r="K306">
        <v>-0.45870861293927861</v>
      </c>
      <c r="L306">
        <v>-1.376143337429758</v>
      </c>
      <c r="M306">
        <v>-1.376143337429758</v>
      </c>
    </row>
    <row r="307" spans="1:17" ht="15.75" thickTop="1" thickBot="1" x14ac:dyDescent="0.25">
      <c r="A307" t="s">
        <v>429</v>
      </c>
      <c r="B307" t="s">
        <v>434</v>
      </c>
      <c r="C307" t="s">
        <v>12</v>
      </c>
      <c r="D307" t="s">
        <v>15</v>
      </c>
      <c r="E307" s="5">
        <v>21.79999923706055</v>
      </c>
      <c r="F307" s="9"/>
      <c r="G307" s="23">
        <f>E307-E305</f>
        <v>0.19999885559082031</v>
      </c>
      <c r="I307" s="3">
        <v>1664900</v>
      </c>
      <c r="J307" t="s">
        <v>79</v>
      </c>
      <c r="K307">
        <v>-0.45870861293927861</v>
      </c>
      <c r="L307">
        <v>-1.376143337429758</v>
      </c>
      <c r="M307">
        <v>-1.376143337429758</v>
      </c>
      <c r="N307" s="16">
        <f>E307-E300</f>
        <v>-0.40000152587889914</v>
      </c>
    </row>
    <row r="308" spans="1:17" ht="15" thickTop="1" x14ac:dyDescent="0.2">
      <c r="A308" t="s">
        <v>429</v>
      </c>
      <c r="B308" t="s">
        <v>436</v>
      </c>
      <c r="C308" t="s">
        <v>12</v>
      </c>
      <c r="D308" t="s">
        <v>13</v>
      </c>
      <c r="E308">
        <v>21.70000076293945</v>
      </c>
      <c r="F308" s="9"/>
      <c r="I308">
        <v>1012901</v>
      </c>
      <c r="J308" t="s">
        <v>437</v>
      </c>
      <c r="K308">
        <v>-0.46083123481042981</v>
      </c>
      <c r="L308">
        <v>-0.46083123481042981</v>
      </c>
      <c r="M308">
        <v>-0.46083123481042981</v>
      </c>
    </row>
    <row r="309" spans="1:17" ht="15" thickBot="1" x14ac:dyDescent="0.25">
      <c r="A309" t="s">
        <v>429</v>
      </c>
      <c r="B309" t="s">
        <v>438</v>
      </c>
      <c r="C309" t="s">
        <v>12</v>
      </c>
      <c r="D309" t="s">
        <v>15</v>
      </c>
      <c r="E309">
        <v>21.70000076293945</v>
      </c>
      <c r="F309" s="9"/>
      <c r="I309">
        <v>567300</v>
      </c>
      <c r="J309" t="s">
        <v>61</v>
      </c>
      <c r="K309">
        <v>-0.92166246962085951</v>
      </c>
      <c r="L309">
        <v>-0.46083123481042981</v>
      </c>
      <c r="M309">
        <v>-0.92166246962085951</v>
      </c>
    </row>
    <row r="310" spans="1:17" ht="15.75" thickTop="1" thickBot="1" x14ac:dyDescent="0.25">
      <c r="A310" t="s">
        <v>429</v>
      </c>
      <c r="B310" t="s">
        <v>439</v>
      </c>
      <c r="C310" t="s">
        <v>12</v>
      </c>
      <c r="D310" t="s">
        <v>15</v>
      </c>
      <c r="E310" s="6">
        <v>21.5</v>
      </c>
      <c r="F310" s="9"/>
      <c r="H310" s="22"/>
      <c r="I310">
        <v>1179363</v>
      </c>
      <c r="J310" t="s">
        <v>66</v>
      </c>
      <c r="K310">
        <v>0</v>
      </c>
      <c r="L310">
        <v>0</v>
      </c>
      <c r="M310">
        <v>0</v>
      </c>
      <c r="Q310" s="27" t="s">
        <v>524</v>
      </c>
    </row>
    <row r="311" spans="1:17" ht="15" thickTop="1" x14ac:dyDescent="0.2">
      <c r="A311" t="s">
        <v>429</v>
      </c>
      <c r="B311" t="s">
        <v>440</v>
      </c>
      <c r="C311" t="s">
        <v>12</v>
      </c>
      <c r="D311" t="s">
        <v>15</v>
      </c>
      <c r="E311" s="6">
        <v>21.5</v>
      </c>
      <c r="F311" s="9"/>
      <c r="H311" s="22">
        <f>E311-E305</f>
        <v>-0.10000038146973012</v>
      </c>
      <c r="I311">
        <v>1300700</v>
      </c>
      <c r="J311" t="s">
        <v>23</v>
      </c>
      <c r="K311">
        <v>0</v>
      </c>
      <c r="L311">
        <v>0</v>
      </c>
      <c r="M311">
        <v>0</v>
      </c>
    </row>
    <row r="312" spans="1:17" ht="15" thickBot="1" x14ac:dyDescent="0.25">
      <c r="A312" t="s">
        <v>429</v>
      </c>
      <c r="B312" t="s">
        <v>441</v>
      </c>
      <c r="C312" t="s">
        <v>12</v>
      </c>
      <c r="D312" t="s">
        <v>13</v>
      </c>
      <c r="E312">
        <v>21.60000038146973</v>
      </c>
      <c r="F312" s="9"/>
      <c r="H312" s="19"/>
      <c r="I312" s="3">
        <v>705700</v>
      </c>
      <c r="J312" t="s">
        <v>442</v>
      </c>
      <c r="K312">
        <v>2.7777794947839758</v>
      </c>
      <c r="L312">
        <v>2.314814773933715</v>
      </c>
      <c r="M312">
        <v>3.703700106166909</v>
      </c>
    </row>
    <row r="313" spans="1:17" ht="15.75" thickTop="1" thickBot="1" x14ac:dyDescent="0.25">
      <c r="A313" s="2" t="s">
        <v>429</v>
      </c>
      <c r="B313" s="2" t="s">
        <v>441</v>
      </c>
      <c r="C313" s="2" t="s">
        <v>12</v>
      </c>
      <c r="D313" s="2" t="s">
        <v>19</v>
      </c>
      <c r="E313" s="2">
        <v>21.60000038146973</v>
      </c>
      <c r="F313" s="31">
        <v>21.8</v>
      </c>
      <c r="G313" s="20"/>
      <c r="H313" s="21">
        <f>E313-E311</f>
        <v>0.10000038146973012</v>
      </c>
      <c r="I313" s="4">
        <v>705700</v>
      </c>
      <c r="J313" s="2" t="s">
        <v>20</v>
      </c>
      <c r="K313" s="2">
        <v>2.7777794947839758</v>
      </c>
      <c r="L313" s="2">
        <v>2.314814773933715</v>
      </c>
      <c r="M313" s="2">
        <v>3.703700106166909</v>
      </c>
      <c r="O313" s="16">
        <f>E313-E298</f>
        <v>-0.29999923706053977</v>
      </c>
    </row>
    <row r="314" spans="1:17" ht="15" thickTop="1" x14ac:dyDescent="0.2">
      <c r="A314" t="s">
        <v>443</v>
      </c>
      <c r="B314" t="s">
        <v>444</v>
      </c>
      <c r="C314" t="s">
        <v>12</v>
      </c>
      <c r="D314" t="s">
        <v>15</v>
      </c>
      <c r="E314">
        <v>22.10000038146973</v>
      </c>
      <c r="F314" s="9"/>
      <c r="G314" s="23">
        <f>E314-E307</f>
        <v>0.30000114440917969</v>
      </c>
      <c r="H314" s="19">
        <f>E314-E313</f>
        <v>0.5</v>
      </c>
      <c r="I314" s="33">
        <v>0</v>
      </c>
      <c r="J314" t="s">
        <v>445</v>
      </c>
      <c r="K314" s="9">
        <v>0.45249040607969521</v>
      </c>
      <c r="L314" s="8">
        <v>-0.45249040607969521</v>
      </c>
      <c r="M314">
        <v>1.3574625877024351</v>
      </c>
      <c r="P314" s="28" t="s">
        <v>539</v>
      </c>
    </row>
    <row r="315" spans="1:17" x14ac:dyDescent="0.2">
      <c r="A315" t="s">
        <v>443</v>
      </c>
      <c r="B315" t="s">
        <v>446</v>
      </c>
      <c r="C315" t="s">
        <v>12</v>
      </c>
      <c r="D315" t="s">
        <v>13</v>
      </c>
      <c r="E315">
        <v>22.20000076293945</v>
      </c>
      <c r="F315" s="9"/>
      <c r="G315" s="23"/>
      <c r="H315" s="19"/>
      <c r="I315">
        <v>1095030</v>
      </c>
      <c r="J315" t="s">
        <v>447</v>
      </c>
      <c r="K315" s="8">
        <v>-0.9009043066040483</v>
      </c>
      <c r="L315" s="8">
        <v>-0.45045215330202409</v>
      </c>
      <c r="M315">
        <v>1.35134786824586</v>
      </c>
      <c r="O315" s="15">
        <f>E315-E298</f>
        <v>0.30000114440917969</v>
      </c>
      <c r="P315" s="28" t="s">
        <v>539</v>
      </c>
    </row>
    <row r="316" spans="1:17" x14ac:dyDescent="0.2">
      <c r="A316" t="s">
        <v>443</v>
      </c>
      <c r="B316" t="s">
        <v>446</v>
      </c>
      <c r="C316" t="s">
        <v>12</v>
      </c>
      <c r="D316" t="s">
        <v>19</v>
      </c>
      <c r="E316">
        <v>22.20000076293945</v>
      </c>
      <c r="F316" s="9"/>
      <c r="G316" s="23">
        <f>E316-E314</f>
        <v>0.10000038146971946</v>
      </c>
      <c r="H316" s="19">
        <f>E316-E314</f>
        <v>0.10000038146971946</v>
      </c>
      <c r="I316">
        <v>1095030</v>
      </c>
      <c r="J316" t="s">
        <v>20</v>
      </c>
      <c r="K316" s="8">
        <v>-0.9009043066040483</v>
      </c>
      <c r="L316" s="8">
        <v>-0.45045215330202409</v>
      </c>
      <c r="M316">
        <v>1.35134786824586</v>
      </c>
      <c r="P316" s="28" t="s">
        <v>539</v>
      </c>
    </row>
    <row r="317" spans="1:17" ht="15" thickBot="1" x14ac:dyDescent="0.25">
      <c r="A317" t="s">
        <v>443</v>
      </c>
      <c r="B317" t="s">
        <v>448</v>
      </c>
      <c r="C317" t="s">
        <v>12</v>
      </c>
      <c r="D317" t="s">
        <v>13</v>
      </c>
      <c r="E317" s="6">
        <v>22</v>
      </c>
      <c r="F317" s="9"/>
      <c r="H317" s="22">
        <f>E317-E316</f>
        <v>-0.20000076293944957</v>
      </c>
      <c r="I317">
        <v>1067411</v>
      </c>
      <c r="J317" t="s">
        <v>449</v>
      </c>
      <c r="K317">
        <v>0.45454718849875708</v>
      </c>
      <c r="L317">
        <v>1.363632895729759</v>
      </c>
      <c r="M317">
        <v>1.8181800842285161</v>
      </c>
      <c r="O317" s="15">
        <f>E317-E298</f>
        <v>0.10000038146973012</v>
      </c>
    </row>
    <row r="318" spans="1:17" ht="15.75" thickTop="1" thickBot="1" x14ac:dyDescent="0.25">
      <c r="A318" t="s">
        <v>443</v>
      </c>
      <c r="B318" s="3" t="s">
        <v>450</v>
      </c>
      <c r="C318" t="s">
        <v>12</v>
      </c>
      <c r="D318" t="s">
        <v>13</v>
      </c>
      <c r="E318" s="5">
        <v>22.29999923706055</v>
      </c>
      <c r="F318" s="9"/>
      <c r="G318"/>
      <c r="H318" s="19"/>
      <c r="I318">
        <v>1596564</v>
      </c>
      <c r="J318" t="s">
        <v>451</v>
      </c>
      <c r="K318" s="10">
        <v>0.44843221924212062</v>
      </c>
      <c r="L318" s="10">
        <v>0.44843221924212062</v>
      </c>
      <c r="M318">
        <v>0</v>
      </c>
      <c r="P318" s="16" t="s">
        <v>521</v>
      </c>
    </row>
    <row r="319" spans="1:17" ht="15.75" thickTop="1" thickBot="1" x14ac:dyDescent="0.25">
      <c r="A319" t="s">
        <v>443</v>
      </c>
      <c r="B319" s="3" t="s">
        <v>450</v>
      </c>
      <c r="C319" t="s">
        <v>12</v>
      </c>
      <c r="D319" t="s">
        <v>15</v>
      </c>
      <c r="E319" s="5">
        <v>22.29999923706055</v>
      </c>
      <c r="F319" s="9"/>
      <c r="G319"/>
      <c r="H319" s="19"/>
      <c r="I319">
        <v>1596564</v>
      </c>
      <c r="J319" t="s">
        <v>109</v>
      </c>
      <c r="K319" s="10">
        <v>0.44843221924212062</v>
      </c>
      <c r="L319" s="10">
        <v>0.44843221924212062</v>
      </c>
      <c r="M319">
        <v>0</v>
      </c>
      <c r="P319" s="16" t="s">
        <v>521</v>
      </c>
    </row>
    <row r="320" spans="1:17" ht="15.75" thickTop="1" thickBot="1" x14ac:dyDescent="0.25">
      <c r="A320" t="s">
        <v>443</v>
      </c>
      <c r="B320" s="3" t="s">
        <v>452</v>
      </c>
      <c r="C320" t="s">
        <v>12</v>
      </c>
      <c r="D320" t="s">
        <v>15</v>
      </c>
      <c r="E320" s="5">
        <v>22.29999923706055</v>
      </c>
      <c r="F320" s="9"/>
      <c r="G320"/>
      <c r="H320" s="19">
        <f>E320-E317</f>
        <v>0.29999923706055043</v>
      </c>
      <c r="I320">
        <v>1579602</v>
      </c>
      <c r="J320" t="s">
        <v>121</v>
      </c>
      <c r="K320" s="10">
        <v>0.44843221924212062</v>
      </c>
      <c r="L320" s="10">
        <v>0.44843221924212062</v>
      </c>
      <c r="M320">
        <v>0</v>
      </c>
      <c r="P320" s="16" t="s">
        <v>521</v>
      </c>
    </row>
    <row r="321" spans="1:17" ht="15.75" thickTop="1" thickBot="1" x14ac:dyDescent="0.25">
      <c r="A321" t="s">
        <v>443</v>
      </c>
      <c r="B321" s="3" t="s">
        <v>453</v>
      </c>
      <c r="C321" t="s">
        <v>12</v>
      </c>
      <c r="D321" t="s">
        <v>13</v>
      </c>
      <c r="E321" s="6">
        <v>22</v>
      </c>
      <c r="F321" s="9"/>
      <c r="G321" s="24"/>
      <c r="I321">
        <v>1899845</v>
      </c>
      <c r="J321" t="s">
        <v>454</v>
      </c>
      <c r="K321" s="10">
        <v>-0.45454718849875708</v>
      </c>
      <c r="L321">
        <v>0</v>
      </c>
      <c r="M321">
        <v>0</v>
      </c>
      <c r="P321" s="27" t="s">
        <v>522</v>
      </c>
    </row>
    <row r="322" spans="1:17" ht="15.75" thickTop="1" thickBot="1" x14ac:dyDescent="0.25">
      <c r="A322" t="s">
        <v>443</v>
      </c>
      <c r="B322" s="3" t="s">
        <v>453</v>
      </c>
      <c r="C322" t="s">
        <v>12</v>
      </c>
      <c r="D322" t="s">
        <v>15</v>
      </c>
      <c r="E322" s="6">
        <v>22</v>
      </c>
      <c r="F322" s="9"/>
      <c r="G322" s="24"/>
      <c r="I322">
        <v>1899845</v>
      </c>
      <c r="J322" t="s">
        <v>184</v>
      </c>
      <c r="K322" s="10">
        <v>-0.45454718849875708</v>
      </c>
      <c r="L322">
        <v>0</v>
      </c>
      <c r="M322">
        <v>0</v>
      </c>
      <c r="P322" s="27" t="s">
        <v>522</v>
      </c>
    </row>
    <row r="323" spans="1:17" ht="15.75" thickTop="1" thickBot="1" x14ac:dyDescent="0.25">
      <c r="A323" s="2" t="s">
        <v>443</v>
      </c>
      <c r="B323" s="4" t="s">
        <v>455</v>
      </c>
      <c r="C323" s="2" t="s">
        <v>12</v>
      </c>
      <c r="D323" s="2" t="s">
        <v>13</v>
      </c>
      <c r="E323" s="7">
        <v>22</v>
      </c>
      <c r="F323" s="31">
        <v>21.9</v>
      </c>
      <c r="G323" s="30">
        <f>E323-E316</f>
        <v>-0.20000076293944957</v>
      </c>
      <c r="H323" s="25">
        <f>E323-E320</f>
        <v>-0.29999923706055043</v>
      </c>
      <c r="I323" s="2">
        <v>1901400</v>
      </c>
      <c r="J323" s="2" t="s">
        <v>456</v>
      </c>
      <c r="K323" s="2">
        <v>0</v>
      </c>
      <c r="L323" s="14">
        <v>-0.45454718849875708</v>
      </c>
      <c r="M323" s="12">
        <v>0.45454718849875708</v>
      </c>
      <c r="P323" s="27" t="s">
        <v>522</v>
      </c>
      <c r="Q323" s="28" t="s">
        <v>539</v>
      </c>
    </row>
    <row r="324" spans="1:17" ht="15" thickTop="1" x14ac:dyDescent="0.2">
      <c r="A324" t="s">
        <v>457</v>
      </c>
      <c r="B324" t="s">
        <v>458</v>
      </c>
      <c r="C324" t="s">
        <v>12</v>
      </c>
      <c r="D324" t="s">
        <v>15</v>
      </c>
      <c r="E324" s="5">
        <v>22.10000038146973</v>
      </c>
      <c r="F324" s="8"/>
      <c r="G324" s="23">
        <f>E324-E323</f>
        <v>0.10000038146973012</v>
      </c>
      <c r="I324">
        <v>0</v>
      </c>
      <c r="J324" t="s">
        <v>148</v>
      </c>
      <c r="K324">
        <v>0</v>
      </c>
      <c r="L324">
        <v>-1.357471218239086</v>
      </c>
      <c r="M324">
        <v>-0.45249040607969521</v>
      </c>
      <c r="N324" s="15">
        <f>E324-E307</f>
        <v>0.30000114440917969</v>
      </c>
    </row>
    <row r="325" spans="1:17" x14ac:dyDescent="0.2">
      <c r="A325" t="s">
        <v>457</v>
      </c>
      <c r="B325" t="s">
        <v>459</v>
      </c>
      <c r="C325" t="s">
        <v>12</v>
      </c>
      <c r="D325" t="s">
        <v>13</v>
      </c>
      <c r="E325">
        <v>21.89999961853027</v>
      </c>
      <c r="F325" s="8"/>
      <c r="I325">
        <v>2273830</v>
      </c>
      <c r="J325" t="s">
        <v>460</v>
      </c>
      <c r="K325">
        <v>0.45662275439088651</v>
      </c>
      <c r="L325">
        <v>0.45662275439088651</v>
      </c>
      <c r="M325">
        <v>0.45662275439088651</v>
      </c>
    </row>
    <row r="326" spans="1:17" x14ac:dyDescent="0.2">
      <c r="A326" t="s">
        <v>457</v>
      </c>
      <c r="B326" t="s">
        <v>461</v>
      </c>
      <c r="C326" t="s">
        <v>12</v>
      </c>
      <c r="D326" t="s">
        <v>13</v>
      </c>
      <c r="E326">
        <v>21.89999961853027</v>
      </c>
      <c r="F326" s="8"/>
      <c r="I326">
        <v>701400</v>
      </c>
      <c r="J326" t="s">
        <v>462</v>
      </c>
      <c r="K326">
        <v>0</v>
      </c>
      <c r="L326">
        <v>0</v>
      </c>
      <c r="M326">
        <v>0</v>
      </c>
    </row>
    <row r="327" spans="1:17" x14ac:dyDescent="0.2">
      <c r="A327" t="s">
        <v>457</v>
      </c>
      <c r="B327" t="s">
        <v>461</v>
      </c>
      <c r="C327" t="s">
        <v>12</v>
      </c>
      <c r="D327" t="s">
        <v>19</v>
      </c>
      <c r="E327">
        <v>21.89999961853027</v>
      </c>
      <c r="F327" s="8"/>
      <c r="I327">
        <v>701400</v>
      </c>
      <c r="J327" t="s">
        <v>20</v>
      </c>
      <c r="K327">
        <v>0</v>
      </c>
      <c r="L327">
        <v>0</v>
      </c>
      <c r="M327">
        <v>0</v>
      </c>
    </row>
    <row r="328" spans="1:17" x14ac:dyDescent="0.2">
      <c r="A328" t="s">
        <v>457</v>
      </c>
      <c r="B328" t="s">
        <v>463</v>
      </c>
      <c r="C328" t="s">
        <v>12</v>
      </c>
      <c r="D328" t="s">
        <v>13</v>
      </c>
      <c r="E328" s="6">
        <v>21.70000076293945</v>
      </c>
      <c r="F328" s="8"/>
      <c r="H328" s="22"/>
      <c r="I328">
        <v>735602</v>
      </c>
      <c r="J328" t="s">
        <v>464</v>
      </c>
      <c r="K328">
        <v>0.46082244518570281</v>
      </c>
      <c r="L328">
        <v>0.46082244518570281</v>
      </c>
      <c r="M328">
        <v>0.92165367999613257</v>
      </c>
    </row>
    <row r="329" spans="1:17" x14ac:dyDescent="0.2">
      <c r="A329" t="s">
        <v>457</v>
      </c>
      <c r="B329" t="s">
        <v>463</v>
      </c>
      <c r="C329" t="s">
        <v>12</v>
      </c>
      <c r="D329" t="s">
        <v>15</v>
      </c>
      <c r="E329" s="6">
        <v>21.70000076293945</v>
      </c>
      <c r="F329" s="8"/>
      <c r="H329" s="22">
        <f>E329-E320</f>
        <v>-0.59999847412110086</v>
      </c>
      <c r="I329">
        <v>735602</v>
      </c>
      <c r="J329" t="s">
        <v>66</v>
      </c>
      <c r="K329">
        <v>0.46082244518570281</v>
      </c>
      <c r="L329">
        <v>0.46082244518570281</v>
      </c>
      <c r="M329">
        <v>0.92165367999613257</v>
      </c>
    </row>
    <row r="330" spans="1:17" x14ac:dyDescent="0.2">
      <c r="A330" t="s">
        <v>457</v>
      </c>
      <c r="B330" t="s">
        <v>465</v>
      </c>
      <c r="C330" t="s">
        <v>12</v>
      </c>
      <c r="D330" t="s">
        <v>13</v>
      </c>
      <c r="E330">
        <v>21.79999923706055</v>
      </c>
      <c r="F330" s="8"/>
      <c r="I330">
        <v>1418201</v>
      </c>
      <c r="J330" t="s">
        <v>466</v>
      </c>
      <c r="K330">
        <v>0</v>
      </c>
      <c r="L330">
        <v>0</v>
      </c>
      <c r="M330">
        <v>0</v>
      </c>
    </row>
    <row r="331" spans="1:17" x14ac:dyDescent="0.2">
      <c r="A331" s="2" t="s">
        <v>457</v>
      </c>
      <c r="B331" s="2" t="s">
        <v>465</v>
      </c>
      <c r="C331" s="2" t="s">
        <v>12</v>
      </c>
      <c r="D331" s="2" t="s">
        <v>19</v>
      </c>
      <c r="E331" s="2">
        <v>21.79999923706055</v>
      </c>
      <c r="F331" s="32">
        <v>21.8</v>
      </c>
      <c r="G331" s="20"/>
      <c r="H331" s="20"/>
      <c r="I331" s="2">
        <v>1418201</v>
      </c>
      <c r="J331" s="2" t="s">
        <v>20</v>
      </c>
      <c r="K331" s="2">
        <v>0</v>
      </c>
      <c r="L331" s="2">
        <v>0</v>
      </c>
      <c r="M331" s="2">
        <v>0</v>
      </c>
    </row>
    <row r="332" spans="1:17" ht="14.25" customHeight="1" x14ac:dyDescent="0.2">
      <c r="A332" t="s">
        <v>467</v>
      </c>
      <c r="B332" t="s">
        <v>468</v>
      </c>
      <c r="C332" t="s">
        <v>12</v>
      </c>
      <c r="D332" t="s">
        <v>15</v>
      </c>
      <c r="E332">
        <v>22</v>
      </c>
      <c r="F332" s="8"/>
      <c r="I332" s="33">
        <v>0</v>
      </c>
      <c r="J332" t="s">
        <v>25</v>
      </c>
      <c r="K332">
        <v>-0.45454718849875708</v>
      </c>
      <c r="L332">
        <v>0</v>
      </c>
      <c r="M332">
        <v>-0.90909437699751416</v>
      </c>
    </row>
    <row r="333" spans="1:17" x14ac:dyDescent="0.2">
      <c r="A333" t="s">
        <v>467</v>
      </c>
      <c r="B333" t="s">
        <v>469</v>
      </c>
      <c r="C333" t="s">
        <v>12</v>
      </c>
      <c r="D333" s="3" t="s">
        <v>13</v>
      </c>
      <c r="E333" s="5">
        <v>21.79999923706055</v>
      </c>
      <c r="F333" s="8"/>
      <c r="G333" s="24"/>
      <c r="I333">
        <v>284622</v>
      </c>
      <c r="J333" t="s">
        <v>470</v>
      </c>
      <c r="K333" s="10">
        <v>-0.45870861293927861</v>
      </c>
      <c r="L333" s="10">
        <v>-0.91742597518451852</v>
      </c>
      <c r="M333" s="10">
        <v>-0.91742597518451852</v>
      </c>
    </row>
    <row r="334" spans="1:17" ht="15" thickBot="1" x14ac:dyDescent="0.25">
      <c r="A334" t="s">
        <v>467</v>
      </c>
      <c r="B334" t="s">
        <v>469</v>
      </c>
      <c r="C334" t="s">
        <v>12</v>
      </c>
      <c r="D334" s="3" t="s">
        <v>15</v>
      </c>
      <c r="E334" s="5">
        <v>21.79999923706055</v>
      </c>
      <c r="F334" s="8"/>
      <c r="G334" s="24">
        <f>E334-E324</f>
        <v>-0.30000114440917969</v>
      </c>
      <c r="I334">
        <v>284622</v>
      </c>
      <c r="J334" t="s">
        <v>49</v>
      </c>
      <c r="K334" s="10">
        <v>-0.45870861293927861</v>
      </c>
      <c r="L334" s="10">
        <v>-0.91742597518451852</v>
      </c>
      <c r="M334" s="10">
        <v>-0.91742597518451852</v>
      </c>
    </row>
    <row r="335" spans="1:17" ht="15.75" thickTop="1" thickBot="1" x14ac:dyDescent="0.25">
      <c r="A335" t="s">
        <v>467</v>
      </c>
      <c r="B335" t="s">
        <v>469</v>
      </c>
      <c r="C335" t="s">
        <v>12</v>
      </c>
      <c r="D335" s="3" t="s">
        <v>19</v>
      </c>
      <c r="E335" s="5">
        <v>21.79999923706055</v>
      </c>
      <c r="F335" s="8"/>
      <c r="G335" s="24"/>
      <c r="I335">
        <v>284622</v>
      </c>
      <c r="J335" t="s">
        <v>20</v>
      </c>
      <c r="K335" s="10">
        <v>-0.45870861293927861</v>
      </c>
      <c r="L335" s="10">
        <v>-0.91742597518451852</v>
      </c>
      <c r="M335" s="10">
        <v>-0.91742597518451852</v>
      </c>
      <c r="N335" s="16">
        <f>E335-E324</f>
        <v>-0.30000114440917969</v>
      </c>
    </row>
    <row r="336" spans="1:17" ht="15" thickTop="1" x14ac:dyDescent="0.2">
      <c r="A336" t="s">
        <v>467</v>
      </c>
      <c r="B336" t="s">
        <v>471</v>
      </c>
      <c r="C336" t="s">
        <v>12</v>
      </c>
      <c r="D336" t="s">
        <v>13</v>
      </c>
      <c r="E336">
        <v>21.70000076293945</v>
      </c>
      <c r="F336" s="8"/>
      <c r="I336">
        <v>999087</v>
      </c>
      <c r="J336" t="s">
        <v>472</v>
      </c>
      <c r="K336">
        <v>0</v>
      </c>
      <c r="L336">
        <v>-0.46083123481042981</v>
      </c>
      <c r="M336">
        <v>0</v>
      </c>
    </row>
    <row r="337" spans="1:16" x14ac:dyDescent="0.2">
      <c r="A337" t="s">
        <v>467</v>
      </c>
      <c r="B337" t="s">
        <v>471</v>
      </c>
      <c r="C337" t="s">
        <v>12</v>
      </c>
      <c r="D337" t="s">
        <v>15</v>
      </c>
      <c r="E337">
        <v>21.70000076293945</v>
      </c>
      <c r="F337" s="8"/>
      <c r="I337">
        <v>999087</v>
      </c>
      <c r="J337" t="s">
        <v>61</v>
      </c>
      <c r="K337">
        <v>0</v>
      </c>
      <c r="L337">
        <v>-0.46083123481042981</v>
      </c>
      <c r="M337">
        <v>0</v>
      </c>
    </row>
    <row r="338" spans="1:16" x14ac:dyDescent="0.2">
      <c r="A338" t="s">
        <v>467</v>
      </c>
      <c r="B338" t="s">
        <v>473</v>
      </c>
      <c r="C338" t="s">
        <v>12</v>
      </c>
      <c r="D338" t="s">
        <v>13</v>
      </c>
      <c r="E338">
        <v>21.70000076293945</v>
      </c>
      <c r="F338" s="8"/>
      <c r="I338">
        <v>461700</v>
      </c>
      <c r="J338" t="s">
        <v>474</v>
      </c>
      <c r="K338">
        <v>-0.46083123481042981</v>
      </c>
      <c r="L338">
        <v>0</v>
      </c>
      <c r="M338">
        <v>-0.46083123481042981</v>
      </c>
    </row>
    <row r="339" spans="1:16" x14ac:dyDescent="0.2">
      <c r="A339" t="s">
        <v>467</v>
      </c>
      <c r="B339" t="s">
        <v>473</v>
      </c>
      <c r="C339" t="s">
        <v>12</v>
      </c>
      <c r="D339" t="s">
        <v>19</v>
      </c>
      <c r="E339">
        <v>21.70000076293945</v>
      </c>
      <c r="F339" s="8"/>
      <c r="I339">
        <v>461700</v>
      </c>
      <c r="J339" t="s">
        <v>20</v>
      </c>
      <c r="K339">
        <v>-0.46083123481042981</v>
      </c>
      <c r="L339">
        <v>0</v>
      </c>
      <c r="M339">
        <v>-0.46083123481042981</v>
      </c>
    </row>
    <row r="340" spans="1:16" x14ac:dyDescent="0.2">
      <c r="A340" t="s">
        <v>467</v>
      </c>
      <c r="B340" t="s">
        <v>475</v>
      </c>
      <c r="C340" t="s">
        <v>12</v>
      </c>
      <c r="D340" t="s">
        <v>13</v>
      </c>
      <c r="E340" s="17">
        <v>21.5</v>
      </c>
      <c r="F340" s="8"/>
      <c r="H340" s="22"/>
      <c r="I340">
        <v>209400</v>
      </c>
      <c r="J340" t="s">
        <v>476</v>
      </c>
      <c r="K340">
        <v>0</v>
      </c>
      <c r="L340">
        <v>0.4651180533475654</v>
      </c>
      <c r="M340">
        <v>1.3953452886537061</v>
      </c>
    </row>
    <row r="341" spans="1:16" ht="15" thickBot="1" x14ac:dyDescent="0.25">
      <c r="A341" t="s">
        <v>467</v>
      </c>
      <c r="B341" t="s">
        <v>477</v>
      </c>
      <c r="C341" t="s">
        <v>12</v>
      </c>
      <c r="D341" t="s">
        <v>13</v>
      </c>
      <c r="E341" s="17">
        <v>21.5</v>
      </c>
      <c r="F341" s="8"/>
      <c r="H341" s="22">
        <f>E341-E329</f>
        <v>-0.20000076293944957</v>
      </c>
      <c r="I341">
        <v>701400</v>
      </c>
      <c r="J341" t="s">
        <v>478</v>
      </c>
      <c r="K341">
        <v>0.4651180533475654</v>
      </c>
      <c r="L341">
        <v>0.93023610669513079</v>
      </c>
      <c r="M341">
        <v>1.8604633420012719</v>
      </c>
    </row>
    <row r="342" spans="1:16" ht="15.75" thickTop="1" thickBot="1" x14ac:dyDescent="0.25">
      <c r="A342" s="2" t="s">
        <v>467</v>
      </c>
      <c r="B342" s="2" t="s">
        <v>477</v>
      </c>
      <c r="C342" s="2" t="s">
        <v>12</v>
      </c>
      <c r="D342" s="2" t="s">
        <v>19</v>
      </c>
      <c r="E342" s="26">
        <v>21.5</v>
      </c>
      <c r="F342" s="32">
        <v>21.5</v>
      </c>
      <c r="G342" s="20"/>
      <c r="H342" s="25"/>
      <c r="I342" s="2">
        <v>701400</v>
      </c>
      <c r="J342" s="2" t="s">
        <v>20</v>
      </c>
      <c r="K342" s="2">
        <v>0.4651180533475654</v>
      </c>
      <c r="L342" s="2">
        <v>0.93023610669513079</v>
      </c>
      <c r="M342" s="2">
        <v>1.8604633420012719</v>
      </c>
      <c r="O342" s="16">
        <f>E342-E317</f>
        <v>-0.5</v>
      </c>
    </row>
    <row r="343" spans="1:16" ht="15.75" thickTop="1" thickBot="1" x14ac:dyDescent="0.25">
      <c r="A343" t="s">
        <v>479</v>
      </c>
      <c r="B343" t="s">
        <v>480</v>
      </c>
      <c r="C343" t="s">
        <v>12</v>
      </c>
      <c r="D343" t="s">
        <v>13</v>
      </c>
      <c r="E343" s="6">
        <v>21.60000038146973</v>
      </c>
      <c r="F343" s="9"/>
      <c r="H343" s="19">
        <f>E343-E342</f>
        <v>0.10000038146973012</v>
      </c>
      <c r="I343">
        <v>1916100</v>
      </c>
      <c r="J343" t="s">
        <v>481</v>
      </c>
      <c r="K343">
        <v>0.46296472085026058</v>
      </c>
      <c r="L343">
        <v>0.92592061138293291</v>
      </c>
      <c r="M343">
        <v>1.388885332233194</v>
      </c>
      <c r="O343" s="16">
        <f>E343-E317</f>
        <v>-0.39999961853026988</v>
      </c>
    </row>
    <row r="344" spans="1:16" ht="15" thickTop="1" x14ac:dyDescent="0.2">
      <c r="A344" t="s">
        <v>479</v>
      </c>
      <c r="B344" t="s">
        <v>482</v>
      </c>
      <c r="C344" t="s">
        <v>12</v>
      </c>
      <c r="D344" t="s">
        <v>13</v>
      </c>
      <c r="E344">
        <v>21.79999923706055</v>
      </c>
      <c r="F344" s="9"/>
      <c r="I344">
        <v>882500</v>
      </c>
      <c r="J344" t="s">
        <v>483</v>
      </c>
      <c r="K344">
        <v>0.91743472449047969</v>
      </c>
      <c r="L344">
        <v>0.45871736224523979</v>
      </c>
      <c r="M344">
        <v>0</v>
      </c>
    </row>
    <row r="345" spans="1:16" x14ac:dyDescent="0.2">
      <c r="A345" t="s">
        <v>479</v>
      </c>
      <c r="B345" t="s">
        <v>484</v>
      </c>
      <c r="C345" t="s">
        <v>12</v>
      </c>
      <c r="D345" t="s">
        <v>13</v>
      </c>
      <c r="E345">
        <v>21.89999961853027</v>
      </c>
      <c r="F345" s="9"/>
      <c r="I345">
        <v>887653</v>
      </c>
      <c r="J345" t="s">
        <v>485</v>
      </c>
      <c r="K345">
        <v>0</v>
      </c>
      <c r="L345">
        <v>0</v>
      </c>
      <c r="M345">
        <v>-0.45662275439088651</v>
      </c>
    </row>
    <row r="346" spans="1:16" ht="14.25" customHeight="1" x14ac:dyDescent="0.2">
      <c r="A346" t="s">
        <v>479</v>
      </c>
      <c r="B346" t="s">
        <v>486</v>
      </c>
      <c r="C346" t="s">
        <v>12</v>
      </c>
      <c r="D346" t="s">
        <v>15</v>
      </c>
      <c r="E346">
        <v>21.79999923706055</v>
      </c>
      <c r="F346" s="9"/>
      <c r="I346">
        <v>641405</v>
      </c>
      <c r="J346" t="s">
        <v>23</v>
      </c>
      <c r="K346">
        <v>0</v>
      </c>
      <c r="L346">
        <v>0</v>
      </c>
      <c r="M346">
        <v>0.45871736224523979</v>
      </c>
    </row>
    <row r="347" spans="1:16" x14ac:dyDescent="0.2">
      <c r="A347" t="s">
        <v>479</v>
      </c>
      <c r="B347" t="s">
        <v>487</v>
      </c>
      <c r="C347" t="s">
        <v>12</v>
      </c>
      <c r="D347" s="3" t="s">
        <v>13</v>
      </c>
      <c r="E347">
        <v>21.89999961853027</v>
      </c>
      <c r="F347" s="9"/>
      <c r="I347">
        <v>400300</v>
      </c>
      <c r="J347" t="s">
        <v>488</v>
      </c>
      <c r="K347" s="10">
        <v>0.45662275439088651</v>
      </c>
      <c r="L347" s="10">
        <v>0.45662275439088651</v>
      </c>
      <c r="M347" s="10">
        <v>0.91324550878177302</v>
      </c>
    </row>
    <row r="348" spans="1:16" x14ac:dyDescent="0.2">
      <c r="A348" t="s">
        <v>479</v>
      </c>
      <c r="B348" t="s">
        <v>487</v>
      </c>
      <c r="C348" t="s">
        <v>12</v>
      </c>
      <c r="D348" s="3" t="s">
        <v>15</v>
      </c>
      <c r="E348">
        <v>21.89999961853027</v>
      </c>
      <c r="F348" s="9"/>
      <c r="I348">
        <v>400300</v>
      </c>
      <c r="J348" t="s">
        <v>79</v>
      </c>
      <c r="K348" s="10">
        <v>0.45662275439088651</v>
      </c>
      <c r="L348" s="10">
        <v>0.45662275439088651</v>
      </c>
      <c r="M348" s="10">
        <v>0.91324550878177302</v>
      </c>
    </row>
    <row r="349" spans="1:16" x14ac:dyDescent="0.2">
      <c r="A349" t="s">
        <v>479</v>
      </c>
      <c r="B349" t="s">
        <v>487</v>
      </c>
      <c r="C349" t="s">
        <v>12</v>
      </c>
      <c r="D349" s="3" t="s">
        <v>19</v>
      </c>
      <c r="E349">
        <v>21.89999961853027</v>
      </c>
      <c r="F349" s="9"/>
      <c r="I349">
        <v>400300</v>
      </c>
      <c r="J349" t="s">
        <v>20</v>
      </c>
      <c r="K349" s="10">
        <v>0.45662275439088651</v>
      </c>
      <c r="L349" s="10">
        <v>0.45662275439088651</v>
      </c>
      <c r="M349" s="10">
        <v>0.91324550878177302</v>
      </c>
      <c r="O349" s="15">
        <f>E349-E343</f>
        <v>0.29999923706053977</v>
      </c>
    </row>
    <row r="350" spans="1:16" x14ac:dyDescent="0.2">
      <c r="A350" t="s">
        <v>479</v>
      </c>
      <c r="B350" t="s">
        <v>489</v>
      </c>
      <c r="C350" t="s">
        <v>12</v>
      </c>
      <c r="D350" t="s">
        <v>13</v>
      </c>
      <c r="E350">
        <v>22</v>
      </c>
      <c r="F350" s="9"/>
      <c r="I350">
        <v>1653100</v>
      </c>
      <c r="J350" t="s">
        <v>490</v>
      </c>
      <c r="K350">
        <v>0</v>
      </c>
      <c r="L350">
        <v>0</v>
      </c>
      <c r="M350">
        <v>0.45454718849875708</v>
      </c>
    </row>
    <row r="351" spans="1:16" ht="14.25" customHeight="1" x14ac:dyDescent="0.2">
      <c r="A351" t="s">
        <v>479</v>
      </c>
      <c r="B351" t="s">
        <v>489</v>
      </c>
      <c r="C351" t="s">
        <v>12</v>
      </c>
      <c r="D351" t="s">
        <v>15</v>
      </c>
      <c r="E351">
        <v>22</v>
      </c>
      <c r="F351" s="9"/>
      <c r="I351">
        <v>1653100</v>
      </c>
      <c r="J351" t="s">
        <v>49</v>
      </c>
      <c r="K351">
        <v>0</v>
      </c>
      <c r="L351">
        <v>0</v>
      </c>
      <c r="M351">
        <v>0.45454718849875708</v>
      </c>
    </row>
    <row r="352" spans="1:16" x14ac:dyDescent="0.2">
      <c r="A352" t="s">
        <v>479</v>
      </c>
      <c r="B352" t="s">
        <v>491</v>
      </c>
      <c r="C352" t="s">
        <v>12</v>
      </c>
      <c r="D352" t="s">
        <v>15</v>
      </c>
      <c r="E352">
        <v>22</v>
      </c>
      <c r="F352" s="9"/>
      <c r="G352" s="23">
        <f>E352-E335</f>
        <v>0.20000076293944957</v>
      </c>
      <c r="H352" s="19">
        <f>E352-E343</f>
        <v>0.39999961853026988</v>
      </c>
      <c r="I352">
        <v>703329</v>
      </c>
      <c r="J352" t="s">
        <v>61</v>
      </c>
      <c r="K352">
        <v>0</v>
      </c>
      <c r="L352" s="9">
        <v>0.45454718849875708</v>
      </c>
      <c r="M352" s="8">
        <v>-0.45454718849875708</v>
      </c>
      <c r="P352" s="28" t="s">
        <v>540</v>
      </c>
    </row>
    <row r="353" spans="1:16" x14ac:dyDescent="0.2">
      <c r="A353" t="s">
        <v>479</v>
      </c>
      <c r="B353" t="s">
        <v>492</v>
      </c>
      <c r="C353" t="s">
        <v>12</v>
      </c>
      <c r="D353" t="s">
        <v>13</v>
      </c>
      <c r="E353" s="5">
        <v>22.10000038146973</v>
      </c>
      <c r="F353" s="9"/>
      <c r="G353" s="23"/>
      <c r="I353">
        <v>1576910</v>
      </c>
      <c r="J353" t="s">
        <v>493</v>
      </c>
      <c r="K353">
        <v>-0.45249040607969521</v>
      </c>
      <c r="L353">
        <v>0</v>
      </c>
      <c r="M353">
        <v>-0.45249040607969521</v>
      </c>
    </row>
    <row r="354" spans="1:16" x14ac:dyDescent="0.2">
      <c r="A354" t="s">
        <v>479</v>
      </c>
      <c r="B354" t="s">
        <v>494</v>
      </c>
      <c r="C354" t="s">
        <v>12</v>
      </c>
      <c r="D354" t="s">
        <v>13</v>
      </c>
      <c r="E354" s="5">
        <v>22.10000038146973</v>
      </c>
      <c r="F354" s="9"/>
      <c r="G354" s="23">
        <f>E354-E352</f>
        <v>0.10000038146973012</v>
      </c>
      <c r="I354">
        <v>1325300</v>
      </c>
      <c r="J354" t="s">
        <v>495</v>
      </c>
      <c r="K354">
        <v>-0.45249040607969521</v>
      </c>
      <c r="L354">
        <v>-0.45249040607969521</v>
      </c>
      <c r="M354">
        <v>-0.90498081215939041</v>
      </c>
      <c r="N354" s="15">
        <f>E354-E335</f>
        <v>0.30000114440917969</v>
      </c>
    </row>
    <row r="355" spans="1:16" x14ac:dyDescent="0.2">
      <c r="A355" t="s">
        <v>479</v>
      </c>
      <c r="B355" t="s">
        <v>496</v>
      </c>
      <c r="C355" t="s">
        <v>12</v>
      </c>
      <c r="D355" t="s">
        <v>13</v>
      </c>
      <c r="E355">
        <v>22</v>
      </c>
      <c r="F355" s="9"/>
      <c r="H355" s="19"/>
      <c r="I355">
        <v>1176803</v>
      </c>
      <c r="J355" t="s">
        <v>497</v>
      </c>
      <c r="K355">
        <v>2.7272744612260298</v>
      </c>
      <c r="L355">
        <v>3.6363601684570308</v>
      </c>
      <c r="M355">
        <v>5.0000017339533027</v>
      </c>
    </row>
    <row r="356" spans="1:16" x14ac:dyDescent="0.2">
      <c r="A356" s="2" t="s">
        <v>479</v>
      </c>
      <c r="B356" s="2" t="s">
        <v>496</v>
      </c>
      <c r="C356" s="2" t="s">
        <v>12</v>
      </c>
      <c r="D356" s="2" t="s">
        <v>15</v>
      </c>
      <c r="E356" s="2">
        <v>22</v>
      </c>
      <c r="F356" s="31">
        <v>22.1</v>
      </c>
      <c r="G356" s="20"/>
      <c r="H356" s="21">
        <f>E356-E352</f>
        <v>0</v>
      </c>
      <c r="I356" s="2">
        <v>1176803</v>
      </c>
      <c r="J356" s="2" t="s">
        <v>66</v>
      </c>
      <c r="K356" s="2">
        <v>2.7272744612260298</v>
      </c>
      <c r="L356" s="2">
        <v>3.6363601684570308</v>
      </c>
      <c r="M356" s="2">
        <v>5.0000017339533027</v>
      </c>
    </row>
    <row r="357" spans="1:16" x14ac:dyDescent="0.2">
      <c r="A357" t="s">
        <v>498</v>
      </c>
      <c r="B357" t="s">
        <v>499</v>
      </c>
      <c r="C357" t="s">
        <v>12</v>
      </c>
      <c r="D357" t="s">
        <v>13</v>
      </c>
      <c r="E357">
        <v>22.70000076293945</v>
      </c>
      <c r="F357" s="9"/>
      <c r="G357" s="23"/>
      <c r="H357" s="19"/>
      <c r="I357">
        <v>1577899</v>
      </c>
      <c r="J357" t="s">
        <v>507</v>
      </c>
      <c r="K357" s="10">
        <v>-0.4405303000385335</v>
      </c>
      <c r="L357" s="9">
        <v>0.44052189762193128</v>
      </c>
      <c r="M357">
        <v>2.643164995397997</v>
      </c>
      <c r="O357" s="15">
        <f>E357-E343</f>
        <v>1.1000003814697195</v>
      </c>
      <c r="P357" s="28" t="s">
        <v>539</v>
      </c>
    </row>
    <row r="358" spans="1:16" x14ac:dyDescent="0.2">
      <c r="A358" t="s">
        <v>498</v>
      </c>
      <c r="B358" t="s">
        <v>499</v>
      </c>
      <c r="C358" t="s">
        <v>12</v>
      </c>
      <c r="D358" t="s">
        <v>15</v>
      </c>
      <c r="E358">
        <v>22.70000076293945</v>
      </c>
      <c r="F358" s="9"/>
      <c r="G358" s="23">
        <f>E358-E354</f>
        <v>0.60000038146971946</v>
      </c>
      <c r="H358" s="19">
        <f>E358-E356</f>
        <v>0.70000076293944957</v>
      </c>
      <c r="I358">
        <v>1577899</v>
      </c>
      <c r="J358" t="s">
        <v>500</v>
      </c>
      <c r="K358" s="10">
        <v>-0.4405303000385335</v>
      </c>
      <c r="L358" s="9">
        <v>0.44052189762193128</v>
      </c>
      <c r="M358">
        <v>2.643164995397997</v>
      </c>
      <c r="P358" s="28" t="s">
        <v>539</v>
      </c>
    </row>
    <row r="359" spans="1:16" x14ac:dyDescent="0.2">
      <c r="A359" t="s">
        <v>498</v>
      </c>
      <c r="B359" t="s">
        <v>501</v>
      </c>
      <c r="C359" t="s">
        <v>12</v>
      </c>
      <c r="D359" t="s">
        <v>13</v>
      </c>
      <c r="E359" s="6">
        <v>22.60000038146973</v>
      </c>
      <c r="F359" s="9"/>
      <c r="H359" s="22"/>
      <c r="I359">
        <v>1206200</v>
      </c>
      <c r="J359" t="s">
        <v>508</v>
      </c>
      <c r="K359">
        <v>0.88495067351770529</v>
      </c>
      <c r="L359">
        <v>2.2123893431876298</v>
      </c>
      <c r="M359">
        <v>2.654868899744272</v>
      </c>
    </row>
    <row r="360" spans="1:16" x14ac:dyDescent="0.2">
      <c r="A360" t="s">
        <v>498</v>
      </c>
      <c r="B360" t="s">
        <v>501</v>
      </c>
      <c r="C360" t="s">
        <v>12</v>
      </c>
      <c r="D360" t="s">
        <v>19</v>
      </c>
      <c r="E360" s="6">
        <v>22.60000038146973</v>
      </c>
      <c r="F360" s="9"/>
      <c r="H360" s="22"/>
      <c r="I360">
        <v>1206200</v>
      </c>
      <c r="J360" t="s">
        <v>20</v>
      </c>
      <c r="K360">
        <v>0.88495067351770529</v>
      </c>
      <c r="L360">
        <v>2.2123893431876298</v>
      </c>
      <c r="M360">
        <v>2.654868899744272</v>
      </c>
      <c r="O360" s="15">
        <f>E360-E343</f>
        <v>1</v>
      </c>
    </row>
    <row r="361" spans="1:16" x14ac:dyDescent="0.2">
      <c r="A361" t="s">
        <v>498</v>
      </c>
      <c r="B361" t="s">
        <v>502</v>
      </c>
      <c r="C361" t="s">
        <v>12</v>
      </c>
      <c r="D361" t="s">
        <v>13</v>
      </c>
      <c r="E361" s="6">
        <v>22.60000038146973</v>
      </c>
      <c r="F361" s="9"/>
      <c r="H361" s="22">
        <f>E361-E358</f>
        <v>-0.10000038146971946</v>
      </c>
      <c r="I361">
        <v>1219516</v>
      </c>
      <c r="J361" t="s">
        <v>509</v>
      </c>
      <c r="K361">
        <v>0.88495067351770529</v>
      </c>
      <c r="L361">
        <v>1.769909786630989</v>
      </c>
      <c r="M361">
        <v>2.2123893431876298</v>
      </c>
    </row>
    <row r="362" spans="1:16" x14ac:dyDescent="0.2">
      <c r="A362" t="s">
        <v>498</v>
      </c>
      <c r="B362" t="s">
        <v>502</v>
      </c>
      <c r="C362" t="s">
        <v>12</v>
      </c>
      <c r="D362" t="s">
        <v>19</v>
      </c>
      <c r="E362" s="6">
        <v>22.60000038146973</v>
      </c>
      <c r="F362" s="9"/>
      <c r="H362" s="22"/>
      <c r="I362">
        <v>1219516</v>
      </c>
      <c r="J362" t="s">
        <v>20</v>
      </c>
      <c r="K362">
        <v>0.88495067351770529</v>
      </c>
      <c r="L362">
        <v>1.769909786630989</v>
      </c>
      <c r="M362">
        <v>2.2123893431876298</v>
      </c>
    </row>
    <row r="363" spans="1:16" x14ac:dyDescent="0.2">
      <c r="A363" t="s">
        <v>498</v>
      </c>
      <c r="B363" t="s">
        <v>503</v>
      </c>
      <c r="C363" t="s">
        <v>12</v>
      </c>
      <c r="D363" t="s">
        <v>13</v>
      </c>
      <c r="E363">
        <v>22.70000076293945</v>
      </c>
      <c r="F363" s="9"/>
      <c r="H363" s="19">
        <f>E363-E362</f>
        <v>0.10000038146971946</v>
      </c>
      <c r="I363">
        <v>1476400</v>
      </c>
      <c r="J363" t="s">
        <v>510</v>
      </c>
      <c r="K363">
        <v>1.7621127977375319</v>
      </c>
      <c r="L363">
        <v>1.7621127977375319</v>
      </c>
      <c r="M363">
        <v>1.7621127977375319</v>
      </c>
      <c r="O363" s="15">
        <f>E363-E343</f>
        <v>1.1000003814697195</v>
      </c>
    </row>
    <row r="364" spans="1:16" x14ac:dyDescent="0.2">
      <c r="A364" t="s">
        <v>498</v>
      </c>
      <c r="B364" t="s">
        <v>504</v>
      </c>
      <c r="C364" t="s">
        <v>12</v>
      </c>
      <c r="D364" t="s">
        <v>13</v>
      </c>
      <c r="E364">
        <v>23.10000038146973</v>
      </c>
      <c r="F364" s="9"/>
      <c r="I364">
        <v>4488968</v>
      </c>
      <c r="J364" t="s">
        <v>511</v>
      </c>
      <c r="K364">
        <v>0</v>
      </c>
      <c r="L364">
        <v>0.43290207713565448</v>
      </c>
      <c r="M364">
        <v>0.43290207713565448</v>
      </c>
    </row>
    <row r="365" spans="1:16" x14ac:dyDescent="0.2">
      <c r="A365" t="s">
        <v>498</v>
      </c>
      <c r="B365" t="s">
        <v>504</v>
      </c>
      <c r="C365" t="s">
        <v>12</v>
      </c>
      <c r="D365" t="s">
        <v>15</v>
      </c>
      <c r="E365">
        <v>23.10000038146973</v>
      </c>
      <c r="F365" s="9"/>
      <c r="I365">
        <v>4488968</v>
      </c>
      <c r="J365" t="s">
        <v>505</v>
      </c>
      <c r="K365">
        <v>0</v>
      </c>
      <c r="L365">
        <v>0.43290207713565448</v>
      </c>
      <c r="M365">
        <v>0.43290207713565448</v>
      </c>
    </row>
    <row r="366" spans="1:16" x14ac:dyDescent="0.2">
      <c r="A366" t="s">
        <v>498</v>
      </c>
      <c r="B366" t="s">
        <v>506</v>
      </c>
      <c r="C366" t="s">
        <v>12</v>
      </c>
      <c r="D366" t="s">
        <v>13</v>
      </c>
      <c r="E366">
        <v>23.10000038146973</v>
      </c>
      <c r="F366" s="9"/>
      <c r="I366">
        <v>4380400</v>
      </c>
      <c r="J366" t="s">
        <v>512</v>
      </c>
      <c r="K366">
        <v>0</v>
      </c>
      <c r="L366">
        <v>0.43290207713565448</v>
      </c>
      <c r="M366">
        <v>0.43290207713565448</v>
      </c>
    </row>
    <row r="367" spans="1:16" x14ac:dyDescent="0.2">
      <c r="A367" t="s">
        <v>498</v>
      </c>
      <c r="B367" t="s">
        <v>506</v>
      </c>
      <c r="C367" t="s">
        <v>12</v>
      </c>
      <c r="D367" t="s">
        <v>19</v>
      </c>
      <c r="E367">
        <v>23.10000038146973</v>
      </c>
      <c r="F367" s="9"/>
      <c r="I367">
        <v>4380400</v>
      </c>
      <c r="J367" t="s">
        <v>20</v>
      </c>
      <c r="K367">
        <v>0</v>
      </c>
      <c r="L367">
        <v>0.43290207713565448</v>
      </c>
      <c r="M367">
        <v>0.43290207713565448</v>
      </c>
    </row>
    <row r="368" spans="1:16" x14ac:dyDescent="0.2">
      <c r="A368" t="s">
        <v>498</v>
      </c>
      <c r="B368" t="s">
        <v>513</v>
      </c>
      <c r="C368" t="s">
        <v>12</v>
      </c>
      <c r="D368" t="s">
        <v>13</v>
      </c>
      <c r="E368">
        <v>23.20000076293945</v>
      </c>
      <c r="F368" s="9"/>
      <c r="H368" s="19">
        <f>E368-E363</f>
        <v>0.5</v>
      </c>
      <c r="I368">
        <v>1770045</v>
      </c>
      <c r="J368" t="s">
        <v>514</v>
      </c>
      <c r="K368">
        <v>1.2931001172197241</v>
      </c>
      <c r="L368">
        <v>0.43102789151987891</v>
      </c>
      <c r="M368">
        <v>0.43102789151987891</v>
      </c>
      <c r="O368" s="15">
        <f>E368-E363</f>
        <v>0.5</v>
      </c>
    </row>
    <row r="369" spans="1:14" x14ac:dyDescent="0.2">
      <c r="A369" t="s">
        <v>498</v>
      </c>
      <c r="B369" t="s">
        <v>515</v>
      </c>
      <c r="C369" t="s">
        <v>12</v>
      </c>
      <c r="D369" t="s">
        <v>13</v>
      </c>
      <c r="E369" s="5">
        <v>23.60000038146973</v>
      </c>
      <c r="F369" s="9"/>
      <c r="G369" s="23"/>
      <c r="I369">
        <v>4704810</v>
      </c>
      <c r="J369" t="s">
        <v>516</v>
      </c>
      <c r="K369">
        <v>-0.42373042310730202</v>
      </c>
      <c r="L369">
        <v>-0.84746084621460405</v>
      </c>
      <c r="M369">
        <v>-1.694913610443606</v>
      </c>
    </row>
    <row r="370" spans="1:14" x14ac:dyDescent="0.2">
      <c r="A370" t="s">
        <v>498</v>
      </c>
      <c r="B370" t="s">
        <v>515</v>
      </c>
      <c r="C370" t="s">
        <v>12</v>
      </c>
      <c r="D370" t="s">
        <v>15</v>
      </c>
      <c r="E370" s="5">
        <v>23.60000038146973</v>
      </c>
      <c r="F370" s="9"/>
      <c r="G370" s="23">
        <f>E370-E358</f>
        <v>0.89999961853028054</v>
      </c>
      <c r="I370">
        <v>4704810</v>
      </c>
      <c r="J370" t="s">
        <v>124</v>
      </c>
      <c r="K370">
        <v>-0.42373042310730202</v>
      </c>
      <c r="L370">
        <v>-0.84746084621460405</v>
      </c>
      <c r="M370">
        <v>-1.694913610443606</v>
      </c>
      <c r="N370" s="15">
        <f>E370-E324</f>
        <v>1.5</v>
      </c>
    </row>
    <row r="371" spans="1:14" x14ac:dyDescent="0.2">
      <c r="A371" s="2" t="s">
        <v>498</v>
      </c>
      <c r="B371" s="2" t="s">
        <v>517</v>
      </c>
      <c r="C371" s="2" t="s">
        <v>12</v>
      </c>
      <c r="D371" s="2" t="s">
        <v>13</v>
      </c>
      <c r="E371" s="2">
        <v>23.20000076293945</v>
      </c>
      <c r="F371" s="31">
        <v>23.3</v>
      </c>
      <c r="G371" s="20"/>
      <c r="H371" s="20"/>
      <c r="I371" s="2">
        <v>2719601</v>
      </c>
      <c r="J371" s="2" t="s">
        <v>518</v>
      </c>
      <c r="K371" s="2">
        <v>0</v>
      </c>
      <c r="L371" s="2">
        <v>0.43102789151987891</v>
      </c>
      <c r="M371" s="2"/>
    </row>
    <row r="372" spans="1:14" x14ac:dyDescent="0.2">
      <c r="A372" t="s">
        <v>525</v>
      </c>
      <c r="B372" t="s">
        <v>526</v>
      </c>
      <c r="C372" t="s">
        <v>12</v>
      </c>
      <c r="D372" t="s">
        <v>15</v>
      </c>
      <c r="E372" s="5">
        <v>23.20000076293945</v>
      </c>
      <c r="F372" s="8"/>
      <c r="G372" s="24">
        <f>E372-E370</f>
        <v>-0.39999961853028054</v>
      </c>
      <c r="I372">
        <v>1226032</v>
      </c>
      <c r="J372" t="s">
        <v>28</v>
      </c>
      <c r="K372">
        <v>0</v>
      </c>
      <c r="L372">
        <v>0</v>
      </c>
      <c r="M372">
        <v>0</v>
      </c>
    </row>
    <row r="373" spans="1:14" x14ac:dyDescent="0.2">
      <c r="A373" t="s">
        <v>525</v>
      </c>
      <c r="B373" t="s">
        <v>527</v>
      </c>
      <c r="C373" t="s">
        <v>12</v>
      </c>
      <c r="D373" t="s">
        <v>15</v>
      </c>
      <c r="E373">
        <v>23.10000038146973</v>
      </c>
      <c r="F373" s="8"/>
      <c r="I373">
        <v>496200</v>
      </c>
      <c r="J373" t="s">
        <v>25</v>
      </c>
      <c r="K373">
        <v>0.43290207713565448</v>
      </c>
      <c r="L373">
        <v>0</v>
      </c>
      <c r="M373">
        <v>0</v>
      </c>
    </row>
    <row r="374" spans="1:14" x14ac:dyDescent="0.2">
      <c r="A374" t="s">
        <v>525</v>
      </c>
      <c r="B374" t="s">
        <v>528</v>
      </c>
      <c r="C374" t="s">
        <v>12</v>
      </c>
      <c r="D374" t="s">
        <v>13</v>
      </c>
      <c r="E374">
        <v>23</v>
      </c>
      <c r="F374" s="8"/>
      <c r="I374">
        <v>1016599</v>
      </c>
      <c r="J374" t="s">
        <v>529</v>
      </c>
      <c r="K374">
        <v>0.43478426725968072</v>
      </c>
      <c r="L374">
        <v>0</v>
      </c>
      <c r="M374">
        <v>0</v>
      </c>
    </row>
    <row r="375" spans="1:14" x14ac:dyDescent="0.2">
      <c r="A375" t="s">
        <v>525</v>
      </c>
      <c r="B375" t="s">
        <v>530</v>
      </c>
      <c r="C375" t="s">
        <v>12</v>
      </c>
      <c r="D375" t="s">
        <v>15</v>
      </c>
      <c r="E375" s="6">
        <v>22.89999961853027</v>
      </c>
      <c r="F375" s="8"/>
      <c r="H375" s="22">
        <f>E375-E368</f>
        <v>-0.30000114440917969</v>
      </c>
      <c r="I375">
        <v>271200</v>
      </c>
      <c r="J375" t="s">
        <v>25</v>
      </c>
      <c r="K375">
        <v>0.4366828957883826</v>
      </c>
      <c r="L375">
        <v>0.4366828957883826</v>
      </c>
      <c r="M375">
        <v>1.7467232541200599</v>
      </c>
    </row>
    <row r="376" spans="1:14" x14ac:dyDescent="0.2">
      <c r="A376" t="s">
        <v>525</v>
      </c>
      <c r="B376" t="s">
        <v>531</v>
      </c>
      <c r="C376" t="s">
        <v>12</v>
      </c>
      <c r="D376" t="s">
        <v>13</v>
      </c>
      <c r="E376">
        <v>23</v>
      </c>
      <c r="F376" s="8"/>
      <c r="I376">
        <v>830901</v>
      </c>
      <c r="J376" t="s">
        <v>532</v>
      </c>
      <c r="K376">
        <v>0</v>
      </c>
      <c r="L376">
        <v>0.43478426725968072</v>
      </c>
      <c r="M376">
        <v>0.43478426725968072</v>
      </c>
    </row>
    <row r="377" spans="1:14" x14ac:dyDescent="0.2">
      <c r="A377" t="s">
        <v>525</v>
      </c>
      <c r="B377" t="s">
        <v>533</v>
      </c>
      <c r="C377" t="s">
        <v>12</v>
      </c>
      <c r="D377" t="s">
        <v>13</v>
      </c>
      <c r="E377">
        <v>23</v>
      </c>
      <c r="F377" s="8"/>
      <c r="I377">
        <v>629500</v>
      </c>
      <c r="J377" t="s">
        <v>534</v>
      </c>
      <c r="K377">
        <v>0</v>
      </c>
      <c r="L377">
        <v>0.43478426725968072</v>
      </c>
      <c r="M377">
        <v>0.86956853451936145</v>
      </c>
    </row>
    <row r="378" spans="1:14" x14ac:dyDescent="0.2">
      <c r="A378" t="s">
        <v>525</v>
      </c>
      <c r="B378" t="s">
        <v>533</v>
      </c>
      <c r="C378" t="s">
        <v>12</v>
      </c>
      <c r="D378" t="s">
        <v>19</v>
      </c>
      <c r="E378">
        <v>23</v>
      </c>
      <c r="F378" s="8"/>
      <c r="I378">
        <v>629500</v>
      </c>
      <c r="J378" t="s">
        <v>20</v>
      </c>
      <c r="K378">
        <v>0</v>
      </c>
      <c r="L378">
        <v>0.43478426725968072</v>
      </c>
      <c r="M378">
        <v>0.86956853451936145</v>
      </c>
    </row>
    <row r="379" spans="1:14" x14ac:dyDescent="0.2">
      <c r="A379" t="s">
        <v>525</v>
      </c>
      <c r="B379" t="s">
        <v>535</v>
      </c>
      <c r="C379" t="s">
        <v>12</v>
      </c>
      <c r="D379" t="s">
        <v>13</v>
      </c>
      <c r="E379" s="5">
        <v>23.20000076293945</v>
      </c>
      <c r="F379" s="8"/>
      <c r="G379" s="24"/>
      <c r="I379">
        <v>888600</v>
      </c>
      <c r="J379" t="s">
        <v>536</v>
      </c>
      <c r="K379">
        <v>-0.43103611284992238</v>
      </c>
      <c r="L379">
        <v>0</v>
      </c>
      <c r="M379">
        <v>0</v>
      </c>
    </row>
    <row r="380" spans="1:14" x14ac:dyDescent="0.2">
      <c r="A380" t="s">
        <v>525</v>
      </c>
      <c r="B380" t="s">
        <v>535</v>
      </c>
      <c r="C380" t="s">
        <v>12</v>
      </c>
      <c r="D380" t="s">
        <v>15</v>
      </c>
      <c r="E380" s="5">
        <v>23.20000076293945</v>
      </c>
      <c r="F380" s="8"/>
      <c r="G380" s="24">
        <f>E380-E372</f>
        <v>0</v>
      </c>
      <c r="I380">
        <v>888600</v>
      </c>
      <c r="J380" t="s">
        <v>16</v>
      </c>
      <c r="K380">
        <v>-0.43103611284992238</v>
      </c>
      <c r="L380">
        <v>0</v>
      </c>
      <c r="M380">
        <v>0</v>
      </c>
    </row>
    <row r="381" spans="1:14" x14ac:dyDescent="0.2">
      <c r="A381" t="s">
        <v>525</v>
      </c>
      <c r="B381" t="s">
        <v>537</v>
      </c>
      <c r="C381" t="s">
        <v>12</v>
      </c>
      <c r="D381" t="s">
        <v>13</v>
      </c>
      <c r="E381">
        <v>23.10000038146973</v>
      </c>
      <c r="F381" s="8"/>
      <c r="H381" s="19"/>
      <c r="I381">
        <v>928100</v>
      </c>
      <c r="J381" t="s">
        <v>538</v>
      </c>
      <c r="K381">
        <v>0</v>
      </c>
      <c r="L381">
        <v>0</v>
      </c>
      <c r="M381">
        <v>2.16450212875792</v>
      </c>
    </row>
    <row r="382" spans="1:14" x14ac:dyDescent="0.2">
      <c r="A382" s="2" t="s">
        <v>525</v>
      </c>
      <c r="B382" s="2" t="s">
        <v>537</v>
      </c>
      <c r="C382" s="2" t="s">
        <v>12</v>
      </c>
      <c r="D382" s="2" t="s">
        <v>19</v>
      </c>
      <c r="E382" s="2">
        <v>23.10000038146973</v>
      </c>
      <c r="F382" s="32">
        <v>23.2</v>
      </c>
      <c r="G382" s="20"/>
      <c r="H382" s="21">
        <f>E382-E375</f>
        <v>0.20000076293946023</v>
      </c>
      <c r="I382" s="2">
        <v>928100</v>
      </c>
      <c r="J382" s="2" t="s">
        <v>20</v>
      </c>
      <c r="K382" s="2">
        <v>0</v>
      </c>
      <c r="L382" s="2">
        <v>0</v>
      </c>
      <c r="M382" s="2">
        <v>2.16450212875792</v>
      </c>
    </row>
    <row r="383" spans="1:14" x14ac:dyDescent="0.2">
      <c r="A383" t="s">
        <v>541</v>
      </c>
      <c r="B383" t="s">
        <v>542</v>
      </c>
      <c r="C383" t="s">
        <v>12</v>
      </c>
      <c r="D383" t="s">
        <v>13</v>
      </c>
      <c r="E383">
        <v>23.39999961853027</v>
      </c>
      <c r="F383" s="9"/>
      <c r="G383" s="23"/>
      <c r="H383" s="19"/>
      <c r="I383">
        <v>2643300</v>
      </c>
      <c r="J383" t="s">
        <v>543</v>
      </c>
      <c r="K383" s="9">
        <v>0.85470412905936166</v>
      </c>
      <c r="L383" s="9">
        <v>0.42735206452968078</v>
      </c>
      <c r="M383" s="8">
        <v>-0.42735206452968078</v>
      </c>
    </row>
    <row r="384" spans="1:14" x14ac:dyDescent="0.2">
      <c r="A384" t="s">
        <v>541</v>
      </c>
      <c r="B384" t="s">
        <v>542</v>
      </c>
      <c r="C384" t="s">
        <v>12</v>
      </c>
      <c r="D384" t="s">
        <v>15</v>
      </c>
      <c r="E384">
        <v>23.39999961853027</v>
      </c>
      <c r="F384" s="9"/>
      <c r="G384" s="23">
        <f>E384-E380</f>
        <v>0.19999885559082031</v>
      </c>
      <c r="H384" s="19">
        <f>E384-E382</f>
        <v>0.29999923706053977</v>
      </c>
      <c r="I384">
        <v>2643300</v>
      </c>
      <c r="J384" t="s">
        <v>101</v>
      </c>
      <c r="K384" s="9">
        <v>0.85470412905936166</v>
      </c>
      <c r="L384" s="9">
        <v>0.42735206452968078</v>
      </c>
      <c r="M384" s="8">
        <v>-0.42735206452968078</v>
      </c>
    </row>
    <row r="385" spans="1:13" x14ac:dyDescent="0.2">
      <c r="A385" t="s">
        <v>541</v>
      </c>
      <c r="B385" t="s">
        <v>544</v>
      </c>
      <c r="C385" t="s">
        <v>12</v>
      </c>
      <c r="D385" t="s">
        <v>13</v>
      </c>
      <c r="E385">
        <v>23.60000038146973</v>
      </c>
      <c r="F385" s="9"/>
      <c r="G385" s="23">
        <f>E385-E384</f>
        <v>0.20000076293946023</v>
      </c>
      <c r="I385">
        <v>1707421</v>
      </c>
      <c r="J385" t="s">
        <v>545</v>
      </c>
      <c r="K385">
        <v>-0.42373042310730202</v>
      </c>
      <c r="L385">
        <v>-1.2711912693219061</v>
      </c>
      <c r="M385">
        <v>-2.118644033550908</v>
      </c>
    </row>
    <row r="386" spans="1:13" x14ac:dyDescent="0.2">
      <c r="A386" t="s">
        <v>541</v>
      </c>
      <c r="B386" t="s">
        <v>546</v>
      </c>
      <c r="C386" t="s">
        <v>12</v>
      </c>
      <c r="D386" t="s">
        <v>15</v>
      </c>
      <c r="E386" s="6">
        <v>23.10000038146973</v>
      </c>
      <c r="F386" s="9"/>
      <c r="H386" s="22">
        <f>E386-E384</f>
        <v>-0.29999923706053977</v>
      </c>
      <c r="I386">
        <v>784600</v>
      </c>
      <c r="J386" t="s">
        <v>109</v>
      </c>
      <c r="K386">
        <v>0.86579589735095697</v>
      </c>
      <c r="L386">
        <v>0.86579589735095697</v>
      </c>
      <c r="M386">
        <v>1.2986979744866121</v>
      </c>
    </row>
    <row r="387" spans="1:13" x14ac:dyDescent="0.2">
      <c r="A387" t="s">
        <v>541</v>
      </c>
      <c r="B387" t="s">
        <v>547</v>
      </c>
      <c r="C387" t="s">
        <v>12</v>
      </c>
      <c r="D387" t="s">
        <v>13</v>
      </c>
      <c r="E387">
        <v>23.39999961853027</v>
      </c>
      <c r="F387" s="9"/>
      <c r="I387">
        <v>749001</v>
      </c>
      <c r="J387" t="s">
        <v>548</v>
      </c>
      <c r="K387">
        <v>-0.42735206452968078</v>
      </c>
      <c r="L387">
        <v>0</v>
      </c>
      <c r="M387">
        <v>0</v>
      </c>
    </row>
    <row r="388" spans="1:13" x14ac:dyDescent="0.2">
      <c r="A388" t="s">
        <v>541</v>
      </c>
      <c r="B388" t="s">
        <v>547</v>
      </c>
      <c r="C388" t="s">
        <v>12</v>
      </c>
      <c r="D388" t="s">
        <v>19</v>
      </c>
      <c r="E388">
        <v>23.39999961853027</v>
      </c>
      <c r="F388" s="9"/>
      <c r="I388">
        <v>749001</v>
      </c>
      <c r="J388" t="s">
        <v>20</v>
      </c>
      <c r="K388">
        <v>-0.42735206452968078</v>
      </c>
      <c r="L388">
        <v>0</v>
      </c>
      <c r="M388">
        <v>0</v>
      </c>
    </row>
    <row r="389" spans="1:13" x14ac:dyDescent="0.2">
      <c r="A389" t="s">
        <v>541</v>
      </c>
      <c r="B389" t="s">
        <v>549</v>
      </c>
      <c r="C389" t="s">
        <v>12</v>
      </c>
      <c r="D389" t="s">
        <v>13</v>
      </c>
      <c r="E389">
        <v>23.39999961853027</v>
      </c>
      <c r="F389" s="9"/>
      <c r="H389" s="19"/>
      <c r="I389">
        <v>736257</v>
      </c>
      <c r="J389" t="s">
        <v>550</v>
      </c>
      <c r="K389">
        <v>0</v>
      </c>
      <c r="L389">
        <v>0.42735206452968078</v>
      </c>
      <c r="M389">
        <v>2.5641042361154192</v>
      </c>
    </row>
    <row r="390" spans="1:13" x14ac:dyDescent="0.2">
      <c r="A390" t="s">
        <v>541</v>
      </c>
      <c r="B390" t="s">
        <v>549</v>
      </c>
      <c r="C390" t="s">
        <v>12</v>
      </c>
      <c r="D390" t="s">
        <v>15</v>
      </c>
      <c r="E390">
        <v>23.39999961853027</v>
      </c>
      <c r="F390" s="9"/>
      <c r="H390" s="19">
        <f>E390-E386</f>
        <v>0.29999923706053977</v>
      </c>
      <c r="I390">
        <v>736257</v>
      </c>
      <c r="J390" t="s">
        <v>156</v>
      </c>
      <c r="K390">
        <v>0</v>
      </c>
      <c r="L390">
        <v>0.42735206452968078</v>
      </c>
      <c r="M390">
        <v>2.5641042361154192</v>
      </c>
    </row>
    <row r="391" spans="1:13" x14ac:dyDescent="0.2">
      <c r="A391" t="s">
        <v>541</v>
      </c>
      <c r="B391" t="s">
        <v>551</v>
      </c>
      <c r="C391" t="s">
        <v>12</v>
      </c>
      <c r="D391" t="s">
        <v>13</v>
      </c>
      <c r="E391">
        <v>23.60000038146973</v>
      </c>
      <c r="F391" s="9"/>
      <c r="H391" s="19">
        <f>E391-E390</f>
        <v>0.20000076293946023</v>
      </c>
      <c r="I391">
        <v>925301</v>
      </c>
      <c r="J391" t="s">
        <v>552</v>
      </c>
      <c r="K391">
        <v>0.42373042310730202</v>
      </c>
      <c r="L391">
        <v>2.118644033550908</v>
      </c>
      <c r="M391">
        <v>2.54237445665821</v>
      </c>
    </row>
    <row r="392" spans="1:13" x14ac:dyDescent="0.2">
      <c r="A392" t="s">
        <v>541</v>
      </c>
      <c r="B392" t="s">
        <v>553</v>
      </c>
      <c r="C392" t="s">
        <v>12</v>
      </c>
      <c r="D392" t="s">
        <v>13</v>
      </c>
      <c r="E392">
        <v>23.70000076293945</v>
      </c>
      <c r="F392" s="9"/>
      <c r="H392" s="19"/>
      <c r="I392">
        <v>1321400</v>
      </c>
      <c r="J392" t="s">
        <v>554</v>
      </c>
      <c r="K392">
        <v>1.687762049171607</v>
      </c>
      <c r="L392">
        <v>2.9535815740792462</v>
      </c>
      <c r="M392">
        <v>2.531639049815277</v>
      </c>
    </row>
    <row r="393" spans="1:13" x14ac:dyDescent="0.2">
      <c r="A393" t="s">
        <v>541</v>
      </c>
      <c r="B393" t="s">
        <v>553</v>
      </c>
      <c r="C393" t="s">
        <v>12</v>
      </c>
      <c r="D393" t="s">
        <v>15</v>
      </c>
      <c r="E393">
        <v>23.70000076293945</v>
      </c>
      <c r="F393" s="9"/>
      <c r="H393" s="19">
        <f>E393-E391</f>
        <v>0.10000038146971946</v>
      </c>
      <c r="I393">
        <v>1321400</v>
      </c>
      <c r="J393" t="s">
        <v>156</v>
      </c>
      <c r="K393">
        <v>1.687762049171607</v>
      </c>
      <c r="L393">
        <v>2.9535815740792462</v>
      </c>
      <c r="M393">
        <v>2.531639049815277</v>
      </c>
    </row>
    <row r="394" spans="1:13" x14ac:dyDescent="0.2">
      <c r="A394" t="s">
        <v>541</v>
      </c>
      <c r="B394" t="s">
        <v>555</v>
      </c>
      <c r="C394" t="s">
        <v>12</v>
      </c>
      <c r="D394" t="s">
        <v>13</v>
      </c>
      <c r="E394">
        <v>23.89999961853027</v>
      </c>
      <c r="F394" s="9"/>
      <c r="H394" s="19"/>
      <c r="I394">
        <v>4877260</v>
      </c>
      <c r="J394" t="s">
        <v>556</v>
      </c>
      <c r="K394">
        <v>0.41841164462694691</v>
      </c>
      <c r="L394">
        <v>1.2552349338808411</v>
      </c>
    </row>
    <row r="395" spans="1:13" x14ac:dyDescent="0.2">
      <c r="A395" t="s">
        <v>541</v>
      </c>
      <c r="B395" t="s">
        <v>555</v>
      </c>
      <c r="C395" t="s">
        <v>12</v>
      </c>
      <c r="D395" t="s">
        <v>15</v>
      </c>
      <c r="E395">
        <v>23.89999961853027</v>
      </c>
      <c r="F395" s="9"/>
      <c r="H395" s="19">
        <f>E395-E393</f>
        <v>0.19999885559082031</v>
      </c>
      <c r="I395">
        <v>4877260</v>
      </c>
      <c r="J395" t="s">
        <v>557</v>
      </c>
      <c r="K395">
        <v>0.41841164462694691</v>
      </c>
      <c r="L395">
        <v>1.2552349338808411</v>
      </c>
    </row>
    <row r="396" spans="1:13" x14ac:dyDescent="0.2">
      <c r="A396" t="s">
        <v>541</v>
      </c>
      <c r="B396" t="s">
        <v>558</v>
      </c>
      <c r="C396" t="s">
        <v>12</v>
      </c>
      <c r="D396" t="s">
        <v>13</v>
      </c>
      <c r="E396">
        <v>24</v>
      </c>
      <c r="F396" s="9"/>
      <c r="H396" s="19"/>
      <c r="I396">
        <v>3220693</v>
      </c>
      <c r="J396" t="s">
        <v>559</v>
      </c>
      <c r="K396">
        <v>0</v>
      </c>
      <c r="L396">
        <v>1.2499968210856121</v>
      </c>
    </row>
    <row r="397" spans="1:13" x14ac:dyDescent="0.2">
      <c r="A397" t="s">
        <v>541</v>
      </c>
      <c r="B397" t="s">
        <v>558</v>
      </c>
      <c r="C397" t="s">
        <v>12</v>
      </c>
      <c r="D397" t="s">
        <v>15</v>
      </c>
      <c r="E397">
        <v>24</v>
      </c>
      <c r="F397" s="9"/>
      <c r="H397" s="19">
        <f>E397-E395</f>
        <v>0.10000038146973012</v>
      </c>
      <c r="I397">
        <v>3220693</v>
      </c>
      <c r="J397" t="s">
        <v>34</v>
      </c>
      <c r="K397">
        <v>0</v>
      </c>
      <c r="L397">
        <v>1.2499968210856121</v>
      </c>
    </row>
    <row r="398" spans="1:13" x14ac:dyDescent="0.2">
      <c r="A398" t="s">
        <v>541</v>
      </c>
      <c r="B398" t="s">
        <v>560</v>
      </c>
      <c r="C398" t="s">
        <v>12</v>
      </c>
      <c r="D398" t="s">
        <v>13</v>
      </c>
      <c r="E398" s="5">
        <v>24.39999961853027</v>
      </c>
      <c r="F398" s="9"/>
      <c r="G398" s="23"/>
      <c r="I398">
        <v>4574956</v>
      </c>
      <c r="J398" t="s">
        <v>561</v>
      </c>
      <c r="K398">
        <v>-0.81966745376067018</v>
      </c>
      <c r="L398">
        <v>-0.40983763538169288</v>
      </c>
    </row>
    <row r="399" spans="1:13" x14ac:dyDescent="0.2">
      <c r="A399" t="s">
        <v>541</v>
      </c>
      <c r="B399" t="s">
        <v>560</v>
      </c>
      <c r="C399" t="s">
        <v>12</v>
      </c>
      <c r="D399" t="s">
        <v>15</v>
      </c>
      <c r="E399" s="5">
        <v>24.39999961853027</v>
      </c>
      <c r="F399" s="9"/>
      <c r="G399" s="23">
        <f>E399-E385</f>
        <v>0.79999923706053977</v>
      </c>
      <c r="I399">
        <v>4574956</v>
      </c>
      <c r="J399" t="s">
        <v>86</v>
      </c>
      <c r="K399">
        <v>-0.81966745376067018</v>
      </c>
      <c r="L399">
        <v>-0.40983763538169288</v>
      </c>
    </row>
    <row r="400" spans="1:13" x14ac:dyDescent="0.2">
      <c r="A400" s="2" t="s">
        <v>541</v>
      </c>
      <c r="B400" s="2" t="s">
        <v>562</v>
      </c>
      <c r="C400" s="2" t="s">
        <v>12</v>
      </c>
      <c r="D400" s="2" t="s">
        <v>15</v>
      </c>
      <c r="E400" s="2">
        <v>24.20000076293945</v>
      </c>
      <c r="F400" s="31">
        <v>24.1</v>
      </c>
      <c r="G400" s="30">
        <f>E400-E399</f>
        <v>-0.19999885559082031</v>
      </c>
      <c r="H400" s="2"/>
      <c r="I400" s="2">
        <v>1472905</v>
      </c>
      <c r="J400" s="2" t="s">
        <v>121</v>
      </c>
      <c r="K400" s="2">
        <v>0</v>
      </c>
      <c r="L400" s="2">
        <v>-0.41322470378955478</v>
      </c>
      <c r="M400" s="2">
        <v>-1.239674111368664</v>
      </c>
    </row>
    <row r="401" spans="1:13" x14ac:dyDescent="0.2">
      <c r="A401" t="s">
        <v>563</v>
      </c>
      <c r="B401" t="s">
        <v>564</v>
      </c>
      <c r="C401" t="s">
        <v>12</v>
      </c>
      <c r="D401" t="s">
        <v>15</v>
      </c>
      <c r="E401">
        <v>24.10000038146973</v>
      </c>
      <c r="G401"/>
      <c r="H401"/>
      <c r="I401">
        <v>2191757</v>
      </c>
      <c r="J401" t="s">
        <v>565</v>
      </c>
      <c r="K401">
        <v>0</v>
      </c>
      <c r="L401">
        <v>-0.82987867126023751</v>
      </c>
      <c r="M401">
        <v>-0.82987867126023751</v>
      </c>
    </row>
  </sheetData>
  <autoFilter ref="A1:M342" xr:uid="{00000000-0001-0000-0000-000000000000}"/>
  <conditionalFormatting sqref="K2:M45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M4" sqref="M4"/>
    </sheetView>
  </sheetViews>
  <sheetFormatPr defaultRowHeight="14.25" x14ac:dyDescent="0.2"/>
  <cols>
    <col min="1" max="1" width="28.125" customWidth="1"/>
    <col min="2" max="2" width="15.75" customWidth="1"/>
    <col min="3" max="3" width="21" customWidth="1"/>
    <col min="4" max="4" width="19.5" customWidth="1"/>
  </cols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-2.897461301834622E-2</v>
      </c>
      <c r="C2">
        <v>2.838977736663089E-2</v>
      </c>
      <c r="D2">
        <v>9.6145824514699607E-2</v>
      </c>
    </row>
    <row r="3" spans="1:4" x14ac:dyDescent="0.2">
      <c r="A3" t="s">
        <v>15</v>
      </c>
      <c r="B3">
        <v>5.8772452331531617E-2</v>
      </c>
      <c r="C3">
        <v>0.13646485262166719</v>
      </c>
      <c r="D3">
        <v>9.1962262624286084E-2</v>
      </c>
    </row>
    <row r="4" spans="1:4" x14ac:dyDescent="0.2">
      <c r="A4" t="s">
        <v>13</v>
      </c>
      <c r="B4">
        <v>-8.3157010263220661E-3</v>
      </c>
      <c r="C4">
        <v>4.9410367675565489E-2</v>
      </c>
      <c r="D4">
        <v>-1.448108954891864E-3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G8" sqref="G8"/>
    </sheetView>
  </sheetViews>
  <sheetFormatPr defaultRowHeight="14.25" x14ac:dyDescent="0.2"/>
  <cols>
    <col min="2" max="2" width="23.875" customWidth="1"/>
    <col min="3" max="3" width="13.75" customWidth="1"/>
    <col min="4" max="4" width="18.75" customWidth="1"/>
    <col min="5" max="5" width="19.75" customWidth="1"/>
  </cols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-2.897461301834622E-2</v>
      </c>
      <c r="D2">
        <v>2.838977736663089E-2</v>
      </c>
      <c r="E2">
        <v>9.6145824514699607E-2</v>
      </c>
    </row>
    <row r="3" spans="1:5" x14ac:dyDescent="0.2">
      <c r="A3" t="s">
        <v>12</v>
      </c>
      <c r="B3" t="s">
        <v>15</v>
      </c>
      <c r="C3">
        <v>5.8772452331531617E-2</v>
      </c>
      <c r="D3">
        <v>0.13646485262166719</v>
      </c>
      <c r="E3">
        <v>9.1962262624286084E-2</v>
      </c>
    </row>
    <row r="4" spans="1:5" x14ac:dyDescent="0.2">
      <c r="A4" t="s">
        <v>12</v>
      </c>
      <c r="B4" t="s">
        <v>13</v>
      </c>
      <c r="C4">
        <v>-8.3157010263220661E-3</v>
      </c>
      <c r="D4">
        <v>4.9410367675565489E-2</v>
      </c>
      <c r="E4">
        <v>-1.448108954891864E-3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2025-09-04T14:48:50Z</dcterms:created>
  <dcterms:modified xsi:type="dcterms:W3CDTF">2025-09-11T05:21:07Z</dcterms:modified>
</cp:coreProperties>
</file>