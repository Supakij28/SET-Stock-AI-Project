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E716F469-A85F-40B0-80BF-5110F7CBF17B}" xr6:coauthVersionLast="47" xr6:coauthVersionMax="47" xr10:uidLastSave="{00000000-0000-0000-0000-000000000000}"/>
  <bookViews>
    <workbookView xWindow="705" yWindow="360" windowWidth="27435" windowHeight="14730" activeTab="3" xr2:uid="{8238C2D7-EA6A-45DD-B911-A83E24C1431A}"/>
  </bookViews>
  <sheets>
    <sheet name="Sheet1" sheetId="1" r:id="rId1"/>
    <sheet name="2025-09-12" sheetId="2" r:id="rId2"/>
    <sheet name="2025-09-15 (เช้า)" sheetId="3" r:id="rId3"/>
    <sheet name="2025-09-15 (บ่าย)" sheetId="4" r:id="rId4"/>
    <sheet name="2025-09-16 (เช้า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F6" i="1"/>
  <c r="G6" i="1"/>
  <c r="F5" i="1"/>
  <c r="G5" i="1" l="1"/>
  <c r="H5" i="1" s="1"/>
  <c r="I6" i="1" s="1"/>
</calcChain>
</file>

<file path=xl/sharedStrings.xml><?xml version="1.0" encoding="utf-8"?>
<sst xmlns="http://schemas.openxmlformats.org/spreadsheetml/2006/main" count="568" uniqueCount="450">
  <si>
    <t>Amount</t>
  </si>
  <si>
    <t>Net</t>
  </si>
  <si>
    <t>Vat</t>
  </si>
  <si>
    <t>BUY</t>
  </si>
  <si>
    <t>SALE</t>
  </si>
  <si>
    <t>COM7</t>
  </si>
  <si>
    <t>🔮 Forecast (อนาคต 3-5 วัน):</t>
  </si>
  <si>
    <t>Ticker</t>
  </si>
  <si>
    <t>yhat_lower</t>
  </si>
  <si>
    <t>yhat_upper</t>
  </si>
  <si>
    <t>anomaly</t>
  </si>
  <si>
    <t>Price</t>
  </si>
  <si>
    <t>Date</t>
  </si>
  <si>
    <t>ds</t>
  </si>
  <si>
    <t>yhat</t>
  </si>
  <si>
    <t>close</t>
  </si>
  <si>
    <t>[COM7] Data with anomaly detection:</t>
  </si>
  <si>
    <t>[PTT] Data with anomaly detection:</t>
  </si>
  <si>
    <t>[IVL] Data with anomaly detection:</t>
  </si>
  <si>
    <t>Backtest (hold-out test set) results:</t>
  </si>
  <si>
    <t>MAE = 0.6412</t>
  </si>
  <si>
    <t>RMSE = 0.8231</t>
  </si>
  <si>
    <t>Residual std (for intervals) = 0.8273</t>
  </si>
  <si>
    <t>Future predictions (recursive):</t>
  </si>
  <si>
    <t>2025-09-14 -&gt; Predicted close: 24.3947  (approx CI: 22.7731  -  26.0163)</t>
  </si>
  <si>
    <t>2025-09-15 -&gt; Predicted close: 24.4824  (approx CI: 22.8608  -  26.1040)</t>
  </si>
  <si>
    <t>2025-09-16 -&gt; Predicted close: 24.1342  (approx CI: 22.5126  -  25.7558)</t>
  </si>
  <si>
    <t>[COM7]</t>
  </si>
  <si>
    <t>MAE = 0.5195</t>
  </si>
  <si>
    <t>RMSE = 0.6565</t>
  </si>
  <si>
    <t>Residual std (for intervals) = 0.6518</t>
  </si>
  <si>
    <t>2025-09-14 -&gt; Predicted close: 22.7603  (approx CI: 21.4827  -  24.0378)</t>
  </si>
  <si>
    <t>2025-09-15 -&gt; Predicted close: 22.2814  (approx CI: 21.0039  -  23.5590)</t>
  </si>
  <si>
    <t>2025-09-16 -&gt; Predicted close: 22.5044  (approx CI: 21.2269  -  23.7820)</t>
  </si>
  <si>
    <t>[PTT]</t>
  </si>
  <si>
    <t>MAE = 0.3639</t>
  </si>
  <si>
    <t>RMSE = 0.4676</t>
  </si>
  <si>
    <t>Residual std (for intervals) = 0.4586</t>
  </si>
  <si>
    <t>2025-09-14 -&gt; Predicted close: 30.8180  (approx CI: 29.9192  -  31.7169)</t>
  </si>
  <si>
    <t>2025-09-15 -&gt; Predicted close: 30.7335  (approx CI: 29.8347  -  31.6323)</t>
  </si>
  <si>
    <t>2025-09-16 -&gt; Predicted close: 30.5093  (approx CI: 29.6105  -  31.4081)</t>
  </si>
  <si>
    <t>[IVL]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</si>
  <si>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23.7510</t>
    </r>
    <r>
      <rPr>
        <sz val="11"/>
        <color theme="1"/>
        <rFont val="Tahoma"/>
        <family val="2"/>
        <charset val="222"/>
        <scheme val="minor"/>
      </rPr>
      <t xml:space="preserve">  (approx CI: 22.1294  -  25.3726)</t>
    </r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</si>
  <si>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23.5243</t>
    </r>
    <r>
      <rPr>
        <sz val="11"/>
        <color theme="1"/>
        <rFont val="Tahoma"/>
        <family val="2"/>
        <charset val="222"/>
        <scheme val="minor"/>
      </rPr>
      <t xml:space="preserve">  (approx CI: 22.2467  -  24.8018)</t>
    </r>
  </si>
  <si>
    <r>
      <t xml:space="preserve">2025-09-13 -&gt; Predicted close: </t>
    </r>
    <r>
      <rPr>
        <b/>
        <sz val="11"/>
        <color rgb="FFFF0000"/>
        <rFont val="Tahoma"/>
        <family val="2"/>
        <scheme val="minor"/>
      </rPr>
      <t>23.1299</t>
    </r>
    <r>
      <rPr>
        <sz val="11"/>
        <color theme="1"/>
        <rFont val="Tahoma"/>
        <family val="2"/>
        <charset val="222"/>
        <scheme val="minor"/>
      </rPr>
      <t xml:space="preserve">  (approx CI: 21.8523  -  24.4074)</t>
    </r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</si>
  <si>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32.4589</t>
    </r>
    <r>
      <rPr>
        <sz val="11"/>
        <color theme="1"/>
        <rFont val="Tahoma"/>
        <family val="2"/>
        <charset val="222"/>
        <scheme val="minor"/>
      </rPr>
      <t xml:space="preserve">  (approx CI: 31.5601  -  33.3577)</t>
    </r>
  </si>
  <si>
    <r>
      <t xml:space="preserve">2025-09-13 -&gt; Predicted close: </t>
    </r>
    <r>
      <rPr>
        <b/>
        <sz val="11"/>
        <color rgb="FFFF0000"/>
        <rFont val="Tahoma"/>
        <family val="2"/>
        <scheme val="minor"/>
      </rPr>
      <t>31.2747</t>
    </r>
    <r>
      <rPr>
        <sz val="11"/>
        <color theme="1"/>
        <rFont val="Tahoma"/>
        <family val="2"/>
        <charset val="222"/>
        <scheme val="minor"/>
      </rPr>
      <t xml:space="preserve">  (approx CI: 30.3759  -  32.1735)</t>
    </r>
  </si>
  <si>
    <t>MAE = 0.9421</t>
  </si>
  <si>
    <t>2025-09-14 -&gt; Predicted close: 35.3624  (approx CI: 33.2490  -  37.4758)</t>
  </si>
  <si>
    <t>2025-09-15 -&gt; Predicted close: 35.5630  (approx CI: 33.4496  -  37.6764)</t>
  </si>
  <si>
    <t>2025-09-16 -&gt; Predicted close: 35.0597  (approx CI: 32.9463  -  37.1731)</t>
  </si>
  <si>
    <t>[BCP]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</si>
  <si>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33.3361</t>
    </r>
    <r>
      <rPr>
        <sz val="11"/>
        <color theme="1"/>
        <rFont val="Tahoma"/>
        <family val="2"/>
        <charset val="222"/>
        <scheme val="minor"/>
      </rPr>
      <t xml:space="preserve">  (approx CI: 31.2227  -  35.4495)</t>
    </r>
  </si>
  <si>
    <r>
      <t xml:space="preserve">2025-09-13 -&gt; Predicted close: </t>
    </r>
    <r>
      <rPr>
        <b/>
        <sz val="11"/>
        <color rgb="FF0070C0"/>
        <rFont val="Tahoma"/>
        <family val="2"/>
        <scheme val="minor"/>
      </rPr>
      <t>34.6560</t>
    </r>
    <r>
      <rPr>
        <sz val="11"/>
        <color theme="1"/>
        <rFont val="Tahoma"/>
        <family val="2"/>
        <charset val="222"/>
        <scheme val="minor"/>
      </rPr>
      <t xml:space="preserve">  (approx CI: 32.5426  -  36.7694)</t>
    </r>
  </si>
  <si>
    <t>MAE = 0.3824</t>
  </si>
  <si>
    <t>RMSE = 0.4801</t>
  </si>
  <si>
    <t>Residual std (for intervals) = 0.4697</t>
  </si>
  <si>
    <t>2025-09-14 -&gt; Predicted close: 13.6261  (approx CI: 12.7056  -  14.5466)</t>
  </si>
  <si>
    <t>2025-09-15 -&gt; Predicted close: 13.4566  (approx CI: 12.5361  -  14.3772)</t>
  </si>
  <si>
    <t>2025-09-16 -&gt; Predicted close: 13.5752  (approx CI: 12.6547  -  14.4958)</t>
  </si>
  <si>
    <t>[OR]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</si>
  <si>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14.1779</t>
    </r>
    <r>
      <rPr>
        <sz val="11"/>
        <color theme="1"/>
        <rFont val="Tahoma"/>
        <family val="2"/>
        <charset val="222"/>
        <scheme val="minor"/>
      </rPr>
      <t xml:space="preserve">  (approx CI: 13.2574  -  15.0985)</t>
    </r>
  </si>
  <si>
    <r>
      <t xml:space="preserve">2025-09-13 -&gt; Predicted close: </t>
    </r>
    <r>
      <rPr>
        <b/>
        <sz val="11"/>
        <color rgb="FFFF0000"/>
        <rFont val="Tahoma"/>
        <family val="2"/>
        <scheme val="minor"/>
      </rPr>
      <t>13.9193</t>
    </r>
    <r>
      <rPr>
        <sz val="11"/>
        <color theme="1"/>
        <rFont val="Tahoma"/>
        <family val="2"/>
        <charset val="222"/>
        <scheme val="minor"/>
      </rPr>
      <t xml:space="preserve">  (approx CI: 12.9988  -  14.8399)</t>
    </r>
  </si>
  <si>
    <r>
      <t xml:space="preserve">Residual std (for intervals) = </t>
    </r>
    <r>
      <rPr>
        <sz val="11"/>
        <color rgb="FFFF0000"/>
        <rFont val="Tahoma"/>
        <family val="2"/>
        <scheme val="minor"/>
      </rPr>
      <t>1.0783</t>
    </r>
  </si>
  <si>
    <t>MAE = 0.9513</t>
  </si>
  <si>
    <t>Residual std (for intervals) = 0.6799</t>
  </si>
  <si>
    <t>2025-09-14 -&gt; Predicted close: 8.4678  (approx CI: 7.1353  -  9.8004)</t>
  </si>
  <si>
    <t>2025-09-15 -&gt; Predicted close: 8.9088  (approx CI: 7.5763  -  10.2413)</t>
  </si>
  <si>
    <t>2025-09-16 -&gt; Predicted close: 9.0761  (approx CI: 7.7436  -  10.4086)</t>
  </si>
  <si>
    <t>[HMPRO]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</si>
  <si>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8.0963</t>
    </r>
    <r>
      <rPr>
        <sz val="11"/>
        <color theme="1"/>
        <rFont val="Tahoma"/>
        <family val="2"/>
        <charset val="222"/>
        <scheme val="minor"/>
      </rPr>
      <t xml:space="preserve">  (approx CI: 6.7638  -  9.4288)</t>
    </r>
  </si>
  <si>
    <t>MAE = 0.1663</t>
  </si>
  <si>
    <t>RMSE = 0.2098</t>
  </si>
  <si>
    <t>Residual std (for intervals) = 0.1819</t>
  </si>
  <si>
    <t>2025-09-14 -&gt; Predicted close: 2.1325  (approx CI: 1.7760  -  2.4890)</t>
  </si>
  <si>
    <t>2025-09-15 -&gt; Predicted close: 2.1427  (approx CI: 1.7862  -  2.4992)</t>
  </si>
  <si>
    <t>2025-09-16 -&gt; Predicted close: 2.1256  (approx CI: 1.7691  -  2.4820)</t>
  </si>
  <si>
    <t>[AWC]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</si>
  <si>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2.1283</t>
    </r>
    <r>
      <rPr>
        <sz val="11"/>
        <color theme="1"/>
        <rFont val="Tahoma"/>
        <family val="2"/>
        <charset val="222"/>
        <scheme val="minor"/>
      </rPr>
      <t xml:space="preserve">  (approx CI: 1.7718  -  2.4848)</t>
    </r>
  </si>
  <si>
    <r>
      <t xml:space="preserve">2025-09-13 -&gt; Predicted close: </t>
    </r>
    <r>
      <rPr>
        <b/>
        <sz val="11"/>
        <color rgb="FFFF0000"/>
        <rFont val="Tahoma"/>
        <family val="2"/>
        <scheme val="minor"/>
      </rPr>
      <t>2.1269</t>
    </r>
    <r>
      <rPr>
        <sz val="11"/>
        <color theme="1"/>
        <rFont val="Tahoma"/>
        <family val="2"/>
        <charset val="222"/>
        <scheme val="minor"/>
      </rPr>
      <t xml:space="preserve">  (approx CI: 1.7704  -  2.4834)</t>
    </r>
  </si>
  <si>
    <t>MAE = 0.0951</t>
  </si>
  <si>
    <t>RMSE = 0.1256</t>
  </si>
  <si>
    <t>Residual std (for intervals) = 0.1262</t>
  </si>
  <si>
    <t>2025-09-14 -&gt; Predicted close: 5.0524  (approx CI: 4.8050  -  5.2997)</t>
  </si>
  <si>
    <t>2025-09-15 -&gt; Predicted close: 5.0399  (approx CI: 4.7925  -  5.2873)</t>
  </si>
  <si>
    <t>2025-09-16 -&gt; Predicted close: 5.0516  (approx CI: 4.8043  -  5.2990)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</si>
  <si>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5.0423</t>
    </r>
    <r>
      <rPr>
        <sz val="11"/>
        <color theme="1"/>
        <rFont val="Tahoma"/>
        <family val="2"/>
        <charset val="222"/>
        <scheme val="minor"/>
      </rPr>
      <t xml:space="preserve">  (approx CI: 4.7949  -  5.2896)</t>
    </r>
  </si>
  <si>
    <t>[BANPU]</t>
  </si>
  <si>
    <t>[BCH]</t>
  </si>
  <si>
    <t>Residual std (for intervals) = 0.6395</t>
  </si>
  <si>
    <t>2025-09-14 -&gt; Predicted close: 15.4157  (approx CI: 14.1623  -  16.6691)</t>
  </si>
  <si>
    <t>2025-09-15 -&gt; Predicted close: 15.4079  (approx CI: 14.1545  -  16.6613)</t>
  </si>
  <si>
    <t>2025-09-16 -&gt; Predicted close: 15.3837  (approx CI: 14.1303  -  16.6371)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</si>
  <si>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14.3740</t>
    </r>
    <r>
      <rPr>
        <sz val="11"/>
        <color theme="1"/>
        <rFont val="Tahoma"/>
        <family val="2"/>
        <charset val="222"/>
        <scheme val="minor"/>
      </rPr>
      <t xml:space="preserve">  (approx CI: 13.1206  -  15.6274)</t>
    </r>
  </si>
  <si>
    <t>MAE = 0.5201</t>
  </si>
  <si>
    <t>RMSE = 0.6611</t>
  </si>
  <si>
    <t>Residual std (for intervals) = 0.6542</t>
  </si>
  <si>
    <t>2025-09-14 -&gt; Predicted close: 22.8059  (approx CI: 21.5237  -  24.0880)</t>
  </si>
  <si>
    <t>2025-09-15 -&gt; Predicted close: 22.3045  (approx CI: 21.0223  -  23.5867)</t>
  </si>
  <si>
    <t>2025-09-16 -&gt; Predicted close: 22.4903  (approx CI: 21.2082  -  23.7725)</t>
  </si>
  <si>
    <t>[2025-09-14]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</si>
  <si>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23.5369</t>
    </r>
    <r>
      <rPr>
        <sz val="11"/>
        <color theme="1"/>
        <rFont val="Tahoma"/>
        <family val="2"/>
        <charset val="222"/>
        <scheme val="minor"/>
      </rPr>
      <t xml:space="preserve">  (approx CI: 22.2548  -  24.8191)</t>
    </r>
  </si>
  <si>
    <r>
      <t xml:space="preserve">2025-09-13 -&gt; Predicted close: </t>
    </r>
    <r>
      <rPr>
        <b/>
        <sz val="11"/>
        <color rgb="FFFF0000"/>
        <rFont val="Tahoma"/>
        <family val="2"/>
        <scheme val="minor"/>
      </rPr>
      <t>23.0644</t>
    </r>
    <r>
      <rPr>
        <sz val="11"/>
        <color theme="1"/>
        <rFont val="Tahoma"/>
        <family val="2"/>
        <charset val="222"/>
        <scheme val="minor"/>
      </rPr>
      <t xml:space="preserve">  (approx CI: 21.7822  -  24.3466)</t>
    </r>
  </si>
  <si>
    <t>Second Test</t>
  </si>
  <si>
    <t>[CPALL]</t>
  </si>
  <si>
    <t>[CPF]</t>
  </si>
  <si>
    <t>2025-09-14 -&gt; Predicted close: 53.5965  (approx CI: 50.9724  -  56.2206)</t>
  </si>
  <si>
    <t>2025-09-15 -&gt; Predicted close: 54.8439  (approx CI: 52.2198  -  57.4679)</t>
  </si>
  <si>
    <t>2025-09-16 -&gt; Predicted close: 55.2696  (approx CI: 52.6455  -  57.8937)</t>
  </si>
  <si>
    <r>
      <t xml:space="preserve">Residual std (for intervals) = </t>
    </r>
    <r>
      <rPr>
        <b/>
        <sz val="11"/>
        <color rgb="FFFF0000"/>
        <rFont val="Tahoma"/>
        <family val="2"/>
        <scheme val="minor"/>
      </rPr>
      <t>1.3388</t>
    </r>
  </si>
  <si>
    <r>
      <t xml:space="preserve">MAE = </t>
    </r>
    <r>
      <rPr>
        <b/>
        <sz val="11"/>
        <color rgb="FFFF0000"/>
        <rFont val="Tahoma"/>
        <family val="2"/>
        <scheme val="minor"/>
      </rPr>
      <t>3.1404</t>
    </r>
  </si>
  <si>
    <r>
      <t xml:space="preserve">RMSE = </t>
    </r>
    <r>
      <rPr>
        <b/>
        <sz val="11"/>
        <color rgb="FFFF0000"/>
        <rFont val="Tahoma"/>
        <family val="2"/>
        <scheme val="minor"/>
      </rPr>
      <t>3.4107</t>
    </r>
  </si>
  <si>
    <t>MAE = 0.5698</t>
  </si>
  <si>
    <t>RMSE = 0.7407</t>
  </si>
  <si>
    <t>Residual std (for intervals) = 0.6876</t>
  </si>
  <si>
    <t>2025-09-14 -&gt; Predicted close: 23.0330  (approx CI: 21.6854  -  24.3807)</t>
  </si>
  <si>
    <t>2025-09-15 -&gt; Predicted close: 23.0124  (approx CI: 21.6648  -  24.3601)</t>
  </si>
  <si>
    <t>2025-09-16 -&gt; Predicted close: 23.0068  (approx CI: 21.6591  -  24.3544)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</si>
  <si>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23.1654</t>
    </r>
    <r>
      <rPr>
        <sz val="11"/>
        <color theme="1"/>
        <rFont val="Tahoma"/>
        <family val="2"/>
        <charset val="222"/>
        <scheme val="minor"/>
      </rPr>
      <t xml:space="preserve">  (approx CI: 21.8178  -  24.5131)</t>
    </r>
  </si>
  <si>
    <r>
      <t xml:space="preserve">2025-09-13 -&gt; Predicted close: </t>
    </r>
    <r>
      <rPr>
        <b/>
        <sz val="11"/>
        <color rgb="FFFF0000"/>
        <rFont val="Tahoma"/>
        <family val="2"/>
        <scheme val="minor"/>
      </rPr>
      <t>23.1510</t>
    </r>
    <r>
      <rPr>
        <sz val="11"/>
        <color theme="1"/>
        <rFont val="Tahoma"/>
        <family val="2"/>
        <charset val="222"/>
        <scheme val="minor"/>
      </rPr>
      <t xml:space="preserve">  (approx CI: 21.8033  -  24.4987)</t>
    </r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</si>
  <si>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50.6564</t>
    </r>
    <r>
      <rPr>
        <sz val="11"/>
        <color theme="1"/>
        <rFont val="Tahoma"/>
        <family val="2"/>
        <charset val="222"/>
        <scheme val="minor"/>
      </rPr>
      <t xml:space="preserve">  (approx CI: 48.0324  -  53.2805)</t>
    </r>
  </si>
  <si>
    <r>
      <t xml:space="preserve">2025-09-13 -&gt; Predicted close: </t>
    </r>
    <r>
      <rPr>
        <b/>
        <sz val="11"/>
        <color rgb="FF00B050"/>
        <rFont val="Tahoma"/>
        <family val="2"/>
        <scheme val="minor"/>
      </rPr>
      <t>51.8735</t>
    </r>
    <r>
      <rPr>
        <sz val="11"/>
        <color theme="1"/>
        <rFont val="Tahoma"/>
        <family val="2"/>
        <charset val="222"/>
        <scheme val="minor"/>
      </rPr>
      <t xml:space="preserve">  (approx CI: 49.2494  -  54.4976)</t>
    </r>
  </si>
  <si>
    <t>Current price: 23.9000</t>
  </si>
  <si>
    <t xml:space="preserve"> + t+1: pred=23.5574 (-1.43%) =&gt; SELL  CI=23.231-23.883</t>
  </si>
  <si>
    <t xml:space="preserve"> + t+2: pred=23.4170 (-2.02%) =&gt; SELL  CI=23.091-23.743</t>
  </si>
  <si>
    <t xml:space="preserve"> + t+3: pred=23.3336 (-2.37%) =&gt; SELL  CI=23.008-23.660</t>
  </si>
  <si>
    <t>Robust Intraday+Recursive+Feature Matching</t>
  </si>
  <si>
    <r>
      <t>intraday real-time signals</t>
    </r>
    <r>
      <rPr>
        <sz val="11"/>
        <color theme="1"/>
        <rFont val="Tahoma"/>
        <family val="2"/>
        <charset val="222"/>
        <scheme val="minor"/>
      </rPr>
      <t xml:space="preserve"> ด้วย </t>
    </r>
    <r>
      <rPr>
        <b/>
        <sz val="11"/>
        <color theme="1"/>
        <rFont val="Tahoma"/>
        <family val="2"/>
        <charset val="222"/>
        <scheme val="minor"/>
      </rPr>
      <t>XGBoost + Indicators</t>
    </r>
  </si>
  <si>
    <t>Current price: 31.2500</t>
  </si>
  <si>
    <t xml:space="preserve"> + t+1: pred=23.6153 (-24.43%) =&gt; SELL  CI=23.289-23.941</t>
  </si>
  <si>
    <t xml:space="preserve"> + t+2: pred=23.3688 (-25.22%) =&gt; SELL  CI=23.043-23.695</t>
  </si>
  <si>
    <t xml:space="preserve"> + t+3: pred=23.2491 (-25.60%) =&gt; SELL  CI=22.923-23.575</t>
  </si>
  <si>
    <t>MAE = 1.0618</t>
  </si>
  <si>
    <t>RMSE = 1.6689</t>
  </si>
  <si>
    <t>Residual std (for intervals) = 1.3703</t>
  </si>
  <si>
    <t>2025-09-14 -&gt; Predicted close: 19.5800  (approx CI: 16.8943  -  22.2658)</t>
  </si>
  <si>
    <t>2025-09-15 -&gt; Predicted close: 20.8395  (approx CI: 18.1537  -  23.5252)</t>
  </si>
  <si>
    <t>2025-09-16 -&gt; Predicted close: 21.0577  (approx CI: 18.3720  -  23.7435)</t>
  </si>
  <si>
    <t>[KTB]</t>
  </si>
  <si>
    <r>
      <t xml:space="preserve">2025-09-13 -&gt; Predicted close: </t>
    </r>
    <r>
      <rPr>
        <b/>
        <sz val="11"/>
        <color rgb="FFFF0000"/>
        <rFont val="Tahoma"/>
        <family val="2"/>
        <scheme val="minor"/>
      </rPr>
      <t>19.4953</t>
    </r>
    <r>
      <rPr>
        <sz val="11"/>
        <color theme="1"/>
        <rFont val="Tahoma"/>
        <family val="2"/>
        <charset val="222"/>
        <scheme val="minor"/>
      </rPr>
      <t xml:space="preserve">  (approx CI: 16.8095  -  22.1810)</t>
    </r>
  </si>
  <si>
    <r>
      <t xml:space="preserve">2025-09-12 -&gt; Predicted close: </t>
    </r>
    <r>
      <rPr>
        <b/>
        <sz val="11"/>
        <rFont val="Tahoma"/>
        <family val="2"/>
        <scheme val="minor"/>
      </rPr>
      <t>21.6736</t>
    </r>
    <r>
      <rPr>
        <sz val="11"/>
        <color theme="1"/>
        <rFont val="Tahoma"/>
        <family val="2"/>
        <charset val="222"/>
        <scheme val="minor"/>
      </rPr>
      <t xml:space="preserve">  (approx CI: 18.9878  -  24.3593)</t>
    </r>
  </si>
  <si>
    <t>Current price: 26.2500</t>
  </si>
  <si>
    <t xml:space="preserve"> + t+1: pred=23.5630 (-10.24%) =&gt; SELL  CI=23.237-23.889</t>
  </si>
  <si>
    <t xml:space="preserve"> + t+2: pred=23.2667 (-11.37%) =&gt; SELL  CI=22.941-23.593</t>
  </si>
  <si>
    <t xml:space="preserve"> + t+3: pred=23.1849 (-11.68%) =&gt; SELL  CI=22.859-23.511</t>
  </si>
  <si>
    <t>[10:30-check] 2025-09-14 22:55:56 - Ticker: KTB.BK - Interval: 5m (นอกเวลาตลาดหุ้น)</t>
  </si>
  <si>
    <t>[10:30-check] 2025-09-14 22:30:47 - Ticker: IVL.BK - Interval: 5m (นอกเวลาตลาดหุ้น)</t>
  </si>
  <si>
    <t>[10:30-check] 2025-09-14 22:50:57 - Ticker: BCP.BK - Interval: 5m (นอกเวลาตลาดหุ้น)</t>
  </si>
  <si>
    <t>MAE = 0.8680</t>
  </si>
  <si>
    <t>RMSE = 0.9933</t>
  </si>
  <si>
    <t>Residual std (for intervals) = 0.6574</t>
  </si>
  <si>
    <t>2025-09-14 -&gt; Predicted close: 26.6935  (approx CI: 25.4050  -  27.9821)</t>
  </si>
  <si>
    <t>2025-09-15 -&gt; Predicted close: 27.0067  (approx CI: 25.7182  -  28.2952)</t>
  </si>
  <si>
    <t>2025-09-16 -&gt; Predicted close: 26.8598  (approx CI: 25.5712  -  28.1483)</t>
  </si>
  <si>
    <t>[MINT]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</si>
  <si>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24.5908</t>
    </r>
    <r>
      <rPr>
        <sz val="11"/>
        <color theme="1"/>
        <rFont val="Tahoma"/>
        <family val="2"/>
        <charset val="222"/>
        <scheme val="minor"/>
      </rPr>
      <t xml:space="preserve">  (approx CI: 23.3023  -  25.8794)</t>
    </r>
  </si>
  <si>
    <r>
      <t xml:space="preserve">2025-09-13 -&gt; Predicted close: </t>
    </r>
    <r>
      <rPr>
        <b/>
        <sz val="11"/>
        <color rgb="FF00B050"/>
        <rFont val="Tahoma"/>
        <family val="2"/>
        <scheme val="minor"/>
      </rPr>
      <t>25.9195</t>
    </r>
    <r>
      <rPr>
        <sz val="11"/>
        <color theme="1"/>
        <rFont val="Tahoma"/>
        <family val="2"/>
        <charset val="222"/>
        <scheme val="minor"/>
      </rPr>
      <t xml:space="preserve">  (approx CI: 24.6310  -  27.2081)</t>
    </r>
  </si>
  <si>
    <t>RMSE = 1.1413</t>
  </si>
  <si>
    <r>
      <t xml:space="preserve">2025-09-13 -&gt; Predicted close: </t>
    </r>
    <r>
      <rPr>
        <b/>
        <sz val="11"/>
        <color rgb="FF00B050"/>
        <rFont val="Tahoma"/>
        <family val="2"/>
        <scheme val="minor"/>
      </rPr>
      <t>8.2278</t>
    </r>
    <r>
      <rPr>
        <sz val="11"/>
        <color theme="1"/>
        <rFont val="Tahoma"/>
        <family val="2"/>
        <charset val="222"/>
        <scheme val="minor"/>
      </rPr>
      <t xml:space="preserve">  (approx CI: 6.8953  -  9.5603)</t>
    </r>
  </si>
  <si>
    <r>
      <t xml:space="preserve">2025-09-13 -&gt; Predicted close: </t>
    </r>
    <r>
      <rPr>
        <b/>
        <sz val="11"/>
        <color rgb="FF00B050"/>
        <rFont val="Tahoma"/>
        <family val="2"/>
        <scheme val="minor"/>
      </rPr>
      <t>15.0732</t>
    </r>
    <r>
      <rPr>
        <sz val="11"/>
        <color theme="1"/>
        <rFont val="Tahoma"/>
        <family val="2"/>
        <charset val="222"/>
        <scheme val="minor"/>
      </rPr>
      <t xml:space="preserve">  (approx CI: 13.8198  -  16.3266)</t>
    </r>
  </si>
  <si>
    <r>
      <t xml:space="preserve">MAE = </t>
    </r>
    <r>
      <rPr>
        <b/>
        <sz val="11"/>
        <color rgb="FFFF0000"/>
        <rFont val="Tahoma"/>
        <family val="2"/>
        <scheme val="minor"/>
      </rPr>
      <t>1.1275</t>
    </r>
  </si>
  <si>
    <r>
      <t xml:space="preserve">RMSE = </t>
    </r>
    <r>
      <rPr>
        <b/>
        <sz val="11"/>
        <color rgb="FFFF0000"/>
        <rFont val="Tahoma"/>
        <family val="2"/>
        <scheme val="minor"/>
      </rPr>
      <t>1.2769</t>
    </r>
  </si>
  <si>
    <r>
      <t xml:space="preserve">2025-09-13 -&gt; Predicted close: </t>
    </r>
    <r>
      <rPr>
        <b/>
        <sz val="11"/>
        <color rgb="FF00B050"/>
        <rFont val="Tahoma"/>
        <family val="2"/>
        <scheme val="minor"/>
      </rPr>
      <t>24.0132</t>
    </r>
    <r>
      <rPr>
        <sz val="11"/>
        <color theme="1"/>
        <rFont val="Tahoma"/>
        <family val="2"/>
        <charset val="222"/>
        <scheme val="minor"/>
      </rPr>
      <t xml:space="preserve">  (approx CI: 22.3916  -  25.6348)</t>
    </r>
  </si>
  <si>
    <r>
      <t xml:space="preserve">2025-09-13 -&gt; Predicted close: </t>
    </r>
    <r>
      <rPr>
        <b/>
        <sz val="11"/>
        <color rgb="FF00B050"/>
        <rFont val="Tahoma"/>
        <family val="2"/>
        <scheme val="minor"/>
      </rPr>
      <t>5.0546</t>
    </r>
    <r>
      <rPr>
        <sz val="11"/>
        <color theme="1"/>
        <rFont val="Tahoma"/>
        <family val="2"/>
        <charset val="222"/>
        <scheme val="minor"/>
      </rPr>
      <t xml:space="preserve">  (approx CI: 4.8072  -  5.3020)</t>
    </r>
  </si>
  <si>
    <r>
      <t xml:space="preserve">RMSE = </t>
    </r>
    <r>
      <rPr>
        <b/>
        <sz val="11"/>
        <color rgb="FFFF0000"/>
        <rFont val="Tahoma"/>
        <family val="2"/>
        <scheme val="minor"/>
      </rPr>
      <t>1.2126</t>
    </r>
  </si>
  <si>
    <t>ค่า ERROR มากเกิน</t>
  </si>
  <si>
    <t>ค่า เป็นลบ</t>
  </si>
  <si>
    <t>ค่า เป็นบวก</t>
  </si>
  <si>
    <t>MAE = 1.8141</t>
  </si>
  <si>
    <t>RMSE = 2.2364</t>
  </si>
  <si>
    <t>Residual std (for intervals) = 1.5930</t>
  </si>
  <si>
    <t>2025-09-14 -&gt; Predicted close: 31.9041  (approx CI: 28.7818  -  35.0263)</t>
  </si>
  <si>
    <t>2025-09-15 -&gt; Predicted close: 31.9117  (approx CI: 28.7894  -  35.0340)</t>
  </si>
  <si>
    <t>2025-09-16 -&gt; Predicted close: 31.9883  (approx CI: 28.8661  -  35.1106)</t>
  </si>
  <si>
    <t>[MEGA]</t>
  </si>
  <si>
    <r>
      <t xml:space="preserve">2025-09-12 -&gt; Predicted close: </t>
    </r>
    <r>
      <rPr>
        <b/>
        <sz val="11"/>
        <color theme="1"/>
        <rFont val="Tahoma"/>
        <family val="2"/>
        <scheme val="minor"/>
      </rPr>
      <t>32.2518</t>
    </r>
    <r>
      <rPr>
        <sz val="11"/>
        <color theme="1"/>
        <rFont val="Tahoma"/>
        <family val="2"/>
        <charset val="222"/>
        <scheme val="minor"/>
      </rPr>
      <t xml:space="preserve">  (approx CI: 29.1295  -  35.3741)</t>
    </r>
  </si>
  <si>
    <r>
      <t xml:space="preserve">2025-09-13 -&gt; Predicted close: </t>
    </r>
    <r>
      <rPr>
        <b/>
        <sz val="11"/>
        <color rgb="FF00B050"/>
        <rFont val="Tahoma"/>
        <family val="2"/>
        <scheme val="minor"/>
      </rPr>
      <t>32.0958</t>
    </r>
    <r>
      <rPr>
        <sz val="11"/>
        <color theme="1"/>
        <rFont val="Tahoma"/>
        <family val="2"/>
        <charset val="222"/>
        <scheme val="minor"/>
      </rPr>
      <t xml:space="preserve">  (approx CI: 28.9735  -  35.2180)</t>
    </r>
  </si>
  <si>
    <t>MAE = 1.1684</t>
  </si>
  <si>
    <t>RMSE = 1.3652</t>
  </si>
  <si>
    <t>Residual std (for intervals) = 0.8979</t>
  </si>
  <si>
    <t>2025-09-13 -&gt; Predicted close: 9.5685  (approx CI: 7.8087  -  11.3284)</t>
  </si>
  <si>
    <t>2025-09-14 -&gt; Predicted close: 9.5550  (approx CI: 7.7951  -  11.3148)</t>
  </si>
  <si>
    <t>2025-09-15 -&gt; Predicted close: 9.5672  (approx CI: 7.8073  -  11.3271)</t>
  </si>
  <si>
    <t>2025-09-16 -&gt; Predicted close: 9.5514  (approx CI: 7.7916  -  11.3113)</t>
  </si>
  <si>
    <t>[JMART]</t>
  </si>
  <si>
    <r>
      <t xml:space="preserve">2025-09-12 -&gt; Predicted close: </t>
    </r>
    <r>
      <rPr>
        <b/>
        <sz val="11"/>
        <color rgb="FFFF0000"/>
        <rFont val="Tahoma"/>
        <family val="2"/>
        <scheme val="minor"/>
      </rPr>
      <t>9.8352</t>
    </r>
    <r>
      <rPr>
        <sz val="11"/>
        <color theme="1"/>
        <rFont val="Tahoma"/>
        <family val="2"/>
        <charset val="222"/>
        <scheme val="minor"/>
      </rPr>
      <t xml:space="preserve">  (approx CI: 8.0753  -  11.5950)</t>
    </r>
  </si>
  <si>
    <t>MAE = 2.7162</t>
  </si>
  <si>
    <t>RMSE = 3.2174</t>
  </si>
  <si>
    <t>Residual std (for intervals) = 1.7926</t>
  </si>
  <si>
    <t>2025-09-12 -&gt; Predicted close: 23.4232  (approx CI: 19.9097  -  26.9368)</t>
  </si>
  <si>
    <t>2025-09-13 -&gt; Predicted close: 23.2874  (approx CI: 19.7738  -  26.8009)</t>
  </si>
  <si>
    <t>2025-09-14 -&gt; Predicted close: 22.9069  (approx CI: 19.3934  -  26.4205)</t>
  </si>
  <si>
    <t>2025-09-15 -&gt; Predicted close: 22.9869  (approx CI: 19.4734  -  26.5004)</t>
  </si>
  <si>
    <t>2025-09-16 -&gt; Predicted close: 22.9694  (approx CI: 19.4558  -  26.4829)</t>
  </si>
  <si>
    <t>[RCL]</t>
  </si>
  <si>
    <t>MAE = 1.5037</t>
  </si>
  <si>
    <t>RMSE = 1.8605</t>
  </si>
  <si>
    <t>Residual std (for intervals) = 1.4544</t>
  </si>
  <si>
    <t>2025-09-12 -&gt; Predicted close: 42.9718  (approx CI: 40.1212  -  45.8224)</t>
  </si>
  <si>
    <t>2025-09-13 -&gt; Predicted close: 43.5080  (approx CI: 40.6574  -  46.3586)</t>
  </si>
  <si>
    <t>2025-09-14 -&gt; Predicted close: 43.6625  (approx CI: 40.8119  -  46.5131)</t>
  </si>
  <si>
    <t>2025-09-15 -&gt; Predicted close: 43.5322  (approx CI: 40.6816  -  46.3828)</t>
  </si>
  <si>
    <t>2025-09-16 -&gt; Predicted close: 43.5855  (approx CI: 40.7349  -  46.4361)</t>
  </si>
  <si>
    <t>[MTC]</t>
  </si>
  <si>
    <t>[APP]</t>
  </si>
  <si>
    <t>MAE = 0.1918</t>
  </si>
  <si>
    <t>RMSE = 0.2616</t>
  </si>
  <si>
    <t>Residual std (for intervals) = 0.2049</t>
  </si>
  <si>
    <t>2025-09-13 -&gt; Predicted close: 2.3255  (approx CI: 1.9239  -  2.7270)</t>
  </si>
  <si>
    <t>2025-09-14 -&gt; Predicted close: 2.3540  (approx CI: 1.9524  -  2.7556)</t>
  </si>
  <si>
    <t>2025-09-15 -&gt; Predicted close: 2.3549  (approx CI: 1.9533  -  2.7565)</t>
  </si>
  <si>
    <t>2025-09-16 -&gt; Predicted close: 2.3599  (approx CI: 1.9583  -  2.7615)</t>
  </si>
  <si>
    <r>
      <t xml:space="preserve">2025-09-12 -&gt; Predicted close: </t>
    </r>
    <r>
      <rPr>
        <b/>
        <sz val="11"/>
        <color rgb="FFFF0000"/>
        <rFont val="Tahoma"/>
        <family val="2"/>
        <scheme val="minor"/>
      </rPr>
      <t>2.3320</t>
    </r>
    <r>
      <rPr>
        <sz val="11"/>
        <color theme="1"/>
        <rFont val="Tahoma"/>
        <family val="2"/>
        <charset val="222"/>
        <scheme val="minor"/>
      </rPr>
      <t xml:space="preserve">  (approx CI: 1.9304  -  2.7336)</t>
    </r>
  </si>
  <si>
    <t>MAE = 0.8637</t>
  </si>
  <si>
    <t>RMSE = 1.0159</t>
  </si>
  <si>
    <t>Residual std (for intervals) = 1.0164</t>
  </si>
  <si>
    <t>2025-09-12 -&gt; Predicted close: 15.3959  (approx CI: 13.4037  -  17.3881)</t>
  </si>
  <si>
    <t>2025-09-13 -&gt; Predicted close: 14.9187  (approx CI: 12.9265  -  16.9109)</t>
  </si>
  <si>
    <t>2025-09-14 -&gt; Predicted close: 15.1617  (approx CI: 13.1695  -  17.1539)</t>
  </si>
  <si>
    <t>2025-09-15 -&gt; Predicted close: 15.3061  (approx CI: 13.3140  -  17.2983)</t>
  </si>
  <si>
    <t>2025-09-16 -&gt; Predicted close: 15.3875  (approx CI: 13.3953  -  17.3797)</t>
  </si>
  <si>
    <t>[AMATA]</t>
  </si>
  <si>
    <t>Current price: 24.1000</t>
  </si>
  <si>
    <t xml:space="preserve"> + t+1: pred=23.5827 (-2.15%) =&gt; SELL  CI=23.257-23.909</t>
  </si>
  <si>
    <t xml:space="preserve"> + t+2: pred=23.3710 (-3.02%) =&gt; SELL  CI=23.045-23.697</t>
  </si>
  <si>
    <t xml:space="preserve"> + t+3: pred=23.2669 (-3.46%) =&gt; SELL  CI=22.941-23.593</t>
  </si>
  <si>
    <r>
      <t xml:space="preserve">[10:30-check - 14:30-check] </t>
    </r>
    <r>
      <rPr>
        <b/>
        <sz val="11"/>
        <color rgb="FFFF0000"/>
        <rFont val="Tahoma"/>
        <family val="2"/>
        <scheme val="minor"/>
      </rPr>
      <t>2025-09-15 09:53:43</t>
    </r>
    <r>
      <rPr>
        <b/>
        <sz val="11"/>
        <color theme="1"/>
        <rFont val="Tahoma"/>
        <family val="2"/>
        <scheme val="minor"/>
      </rPr>
      <t xml:space="preserve"> - Ticker: COM7.BK - Interval: 5m  (นอกเวลาตลาดหุ้น)</t>
    </r>
  </si>
  <si>
    <t>[10:30-check - 14:30-check] 2025-09-15 10:30:25 - Ticker: IVL.BK - Interval: 5m</t>
  </si>
  <si>
    <t>Current price: 23.6000</t>
  </si>
  <si>
    <t xml:space="preserve"> + t+1: pred=23.4077 (-0.81%) =&gt; SELL  CI=23.082-23.734</t>
  </si>
  <si>
    <t xml:space="preserve"> + t+2: pred=23.3052 (-1.25%) =&gt; SELL  CI=22.979-23.631</t>
  </si>
  <si>
    <t xml:space="preserve"> + t+3: pred=23.3054 (-1.25%) =&gt; SELL  CI=22.979-23.631</t>
  </si>
  <si>
    <t>[10:30-check - 14:30-check] 2025-09-15 10:33:19 - Ticker: BCP.BK - Interval: 5m</t>
  </si>
  <si>
    <t>Current price: 31.5000</t>
  </si>
  <si>
    <t xml:space="preserve"> + t+1: pred=23.6663 (-24.87%) =&gt; SELL  CI=23.340-23.992</t>
  </si>
  <si>
    <t xml:space="preserve"> + t+2: pred=23.3150 (-25.98%) =&gt; SELL  CI=22.989-23.641</t>
  </si>
  <si>
    <t xml:space="preserve"> + t+3: pred=23.2428 (-26.21%) =&gt; SELL  CI=22.917-23.569</t>
  </si>
  <si>
    <t>[10:30-check - 14:30-check] 2025-09-15 10:34:20 - Ticker: KTB.BK - Interval: 5m</t>
  </si>
  <si>
    <t xml:space="preserve"> + t+1: pred=23.5818 (-10.16%) =&gt; SELL  CI=23.256-23.908</t>
  </si>
  <si>
    <t xml:space="preserve"> + t+3: pred=23.1774 (-11.71%) =&gt; SELL  CI=22.851-23.503</t>
  </si>
  <si>
    <t>MAE = 0.6876</t>
  </si>
  <si>
    <t>RMSE = 0.8686</t>
  </si>
  <si>
    <t>Residual std (for intervals) = 0.8700</t>
  </si>
  <si>
    <t>2025-09-13 -&gt; Predicted close: 24.0110  (approx CI: 22.3059  -  25.7162)</t>
  </si>
  <si>
    <t>2025-09-14 -&gt; Predicted close: 24.1406  (approx CI: 22.4354  -  25.8457)</t>
  </si>
  <si>
    <t>2025-09-15 -&gt; Predicted close: 24.1359  (approx CI: 22.4307  -  25.8410)</t>
  </si>
  <si>
    <t>2025-09-16 -&gt; Predicted close: 24.0508  (approx CI: 22.3457  -  25.7560)</t>
  </si>
  <si>
    <t>2025-09-17 -&gt; Predicted close: 24.0803  (approx CI: 22.3751  -  25.7855)</t>
  </si>
  <si>
    <t>[IVL] Backtest (hold-out test set) results:</t>
  </si>
  <si>
    <t>Step 1 yhat(before clip)=19.2829, after clip=25.2200, [25.22-27.30]</t>
  </si>
  <si>
    <t>Step 2 yhat(before clip)=19.2341, after clip=24.4634, [24.46-27.30]</t>
  </si>
  <si>
    <t>Step 3 yhat(before clip)=19.2341, after clip=23.7295, [23.73-27.30]</t>
  </si>
  <si>
    <t>[10:30-check - 14:30-check] 2025-09-15 12:05:29 - Ticker: KTB.BK - Interval: 5m</t>
  </si>
  <si>
    <t>Current price: 26.5000</t>
  </si>
  <si>
    <t xml:space="preserve"> + t+1: pred=25.2200 (-4.83%) =&gt; SELL  CI=24.894-25.546</t>
  </si>
  <si>
    <t xml:space="preserve"> + t+2: pred=24.4634 (-7.69%) =&gt; SELL  CI=24.137-24.789</t>
  </si>
  <si>
    <t xml:space="preserve"> + t+3: pred=23.7295 (-10.45%) =&gt; SELL  CI=23.404-24.055</t>
  </si>
  <si>
    <t>แก้ไขล่าสุด</t>
  </si>
  <si>
    <t>Step 1 yhat(before clip)=19.2884, after clip=30.3125, [30.31-32.45]</t>
  </si>
  <si>
    <t>Step 2 yhat(before clip)=19.1865, after clip=29.4031, [29.40-32.45]</t>
  </si>
  <si>
    <t>Step 3 yhat(before clip)=19.2341, after clip=28.5210, [28.52-32.45]</t>
  </si>
  <si>
    <t>[10:30-check - 14:30-check] 2025-09-15 12:11:41 - Ticker: BCP.BK - Interval: 5m</t>
  </si>
  <si>
    <t xml:space="preserve"> + t+1: pred=30.3125 (-3.77%) =&gt; SELL  CI=29.987-30.638</t>
  </si>
  <si>
    <t xml:space="preserve"> + t+2: pred=29.4031 (-6.66%) =&gt; SELL  CI=29.077-29.729</t>
  </si>
  <si>
    <t xml:space="preserve"> + t+3: pred=28.5210 (-9.46%) =&gt; SELL  CI=28.195-28.847</t>
  </si>
  <si>
    <t>Step 1 yhat(before clip)=19.2341, after clip=22.5040, [22.50-24.10]</t>
  </si>
  <si>
    <t>Step 2 yhat(before clip)=19.2341, after clip=21.8289, [21.83-24.10]</t>
  </si>
  <si>
    <t>Step 3 yhat(before clip)=19.2341, after clip=21.1740, [21.17-24.10]</t>
  </si>
  <si>
    <t>[10:30-check - 14:30-check] 2025-09-15 12:15:10 - Ticker: IVL.BK - Interval: 5m</t>
  </si>
  <si>
    <t>Current price: 23.2000</t>
  </si>
  <si>
    <t xml:space="preserve"> + t+1: pred=22.5040 (-3.00%) =&gt; SELL  CI=22.178-22.830</t>
  </si>
  <si>
    <t xml:space="preserve"> + t+2: pred=21.8289 (-5.91%) =&gt; SELL  CI=21.503-22.155</t>
  </si>
  <si>
    <t xml:space="preserve"> + t+3: pred=21.1740 (-8.73%) =&gt; SELL  CI=20.848-21.500</t>
  </si>
  <si>
    <t>Step 1 yhat(before clip)=19.3800, after clip=23.0860, [23.09-24.93]</t>
  </si>
  <si>
    <t>Step 2 yhat(before clip)=19.1865, after clip=22.3934, [22.39-24.93]</t>
  </si>
  <si>
    <t>Step 3 yhat(before clip)=19.1739, after clip=21.7216, [21.72-24.93]</t>
  </si>
  <si>
    <t>[10:30-check - 14:30-check] 2025-09-15 12:17:47 - Ticker: COM7.BK - Interval: 5m</t>
  </si>
  <si>
    <t>Current price: 24.2000</t>
  </si>
  <si>
    <t xml:space="preserve"> + t+1: pred=23.0860 (-4.60%) =&gt; SELL  CI=22.760-23.412</t>
  </si>
  <si>
    <t xml:space="preserve"> + t+2: pred=22.3934 (-7.47%) =&gt; SELL  CI=22.067-22.719</t>
  </si>
  <si>
    <t xml:space="preserve"> + t+3: pred=21.7216 (-10.24%) =&gt; SELL  CI=21.396-22.048</t>
  </si>
  <si>
    <t xml:space="preserve"> (ในเวลาตลาดหุ้น 2025-09-15)</t>
  </si>
  <si>
    <r>
      <t xml:space="preserve">[10:30-check - 14:30-check] </t>
    </r>
    <r>
      <rPr>
        <b/>
        <sz val="11"/>
        <color rgb="FFFF0000"/>
        <rFont val="Tahoma"/>
        <family val="2"/>
        <scheme val="minor"/>
      </rPr>
      <t>2025-09-15 10:12:34</t>
    </r>
    <r>
      <rPr>
        <b/>
        <sz val="11"/>
        <color theme="1"/>
        <rFont val="Tahoma"/>
        <family val="2"/>
        <scheme val="minor"/>
      </rPr>
      <t xml:space="preserve"> - Ticker: COM7.BK - Interval: 5m</t>
    </r>
  </si>
  <si>
    <r>
      <t xml:space="preserve">[10:30-check - 14:30-check] </t>
    </r>
    <r>
      <rPr>
        <b/>
        <sz val="11"/>
        <color rgb="FFFF0000"/>
        <rFont val="Tahoma"/>
        <family val="2"/>
        <scheme val="minor"/>
      </rPr>
      <t>2025-09-15 10:29:14</t>
    </r>
    <r>
      <rPr>
        <b/>
        <sz val="11"/>
        <color theme="1"/>
        <rFont val="Tahoma"/>
        <family val="2"/>
        <scheme val="minor"/>
      </rPr>
      <t xml:space="preserve"> - Ticker: COM7.BK - Interval: 5m</t>
    </r>
  </si>
  <si>
    <t>[10:30-check - 14:30-check] 2025-09-15 14:20:59 - Ticker: AWC.BK - Interval: 5m</t>
  </si>
  <si>
    <t>Current price: 2.3800</t>
  </si>
  <si>
    <t xml:space="preserve"> + t+1: pred=2.4720 (3.87%) =&gt; BUY  CI=2.146-2.798</t>
  </si>
  <si>
    <t xml:space="preserve"> + t+2: pred=2.5462 (6.98%) =&gt; BUY  CI=2.220-2.872</t>
  </si>
  <si>
    <t xml:space="preserve"> + t+3: pred=2.6225 (10.19%) =&gt; BUY  CI=2.297-2.949</t>
  </si>
  <si>
    <t>[10:30-check - 14:30-check] 2025-09-15 14:23:42 - Ticker: BCH.BK - Interval: 5m</t>
  </si>
  <si>
    <t>Current price: 13.4000</t>
  </si>
  <si>
    <t xml:space="preserve"> + t+1: pred=13.8020 (3.00%) =&gt; BUY  CI=13.476-14.128</t>
  </si>
  <si>
    <t xml:space="preserve"> + t+2: pred=14.2161 (6.09%) =&gt; BUY  CI=13.890-14.542</t>
  </si>
  <si>
    <t xml:space="preserve"> + t+3: pred=14.6425 (9.27%) =&gt; BUY  CI=14.317-14.969</t>
  </si>
  <si>
    <t>ทดลองซื้อ</t>
  </si>
  <si>
    <t>[10:30-check - 14:30-check] 2025-09-15 14:25:17 - Ticker: TLI.BK - Interval: 5m</t>
  </si>
  <si>
    <t>Current price: 10.3000</t>
  </si>
  <si>
    <t xml:space="preserve"> + t+1: pred=10.6090 (3.00%) =&gt; BUY  CI=10.283-10.935</t>
  </si>
  <si>
    <t xml:space="preserve"> + t+2: pred=10.9273 (6.09%) =&gt; BUY  CI=10.601-11.253</t>
  </si>
  <si>
    <t xml:space="preserve"> + t+3: pred=11.2551 (9.27%) =&gt; BUY  CI=10.929-11.581</t>
  </si>
  <si>
    <t>[10:30-check - 14:30-check] 2025-09-15 14:25:45 - Ticker: SPRC.BK - Interval: 5m</t>
  </si>
  <si>
    <t>Current price: 5.0500</t>
  </si>
  <si>
    <t xml:space="preserve"> + t+1: pred=5.2530 (4.02%) =&gt; BUY  CI=4.927-5.579</t>
  </si>
  <si>
    <t xml:space="preserve"> + t+2: pred=5.4106 (7.14%) =&gt; BUY  CI=5.085-5.737</t>
  </si>
  <si>
    <t xml:space="preserve"> + t+3: pred=5.5729 (10.35%) =&gt; BUY  CI=5.247-5.899</t>
  </si>
  <si>
    <t>[10:30-check - 14:30-check] 2025-09-15 14:27:37 - Ticker: KTB.BK - Interval: 5m</t>
  </si>
  <si>
    <t xml:space="preserve"> + t+1: pred=25.2200 (-3.92%) =&gt; SELL  CI=24.894-25.546</t>
  </si>
  <si>
    <t xml:space="preserve"> + t+2: pred=24.4634 (-6.81%) =&gt; SELL  CI=24.137-24.789</t>
  </si>
  <si>
    <t xml:space="preserve"> + t+3: pred=23.7295 (-9.60%) =&gt; SELL  CI=23.404-24.055</t>
  </si>
  <si>
    <t>[10:30-check - 14:30-check] 2025-09-15 14:29:38 - Ticker: HMPRO.BK - Interval: 5m</t>
  </si>
  <si>
    <t>Current price: 7.6500</t>
  </si>
  <si>
    <t xml:space="preserve"> + t+1: pred=7.8795 (3.00%) =&gt; BUY  CI=7.554-8.205</t>
  </si>
  <si>
    <t xml:space="preserve"> + t+2: pred=8.1159 (6.09%) =&gt; BUY  CI=7.790-8.442</t>
  </si>
  <si>
    <t xml:space="preserve"> + t+3: pred=8.3594 (9.27%) =&gt; BUY  CI=8.033-8.685</t>
  </si>
  <si>
    <t>[10:30-check - 14:30-check] 2025-09-15 14:31:18 - Ticker: CRC.BK - Interval: 5m</t>
  </si>
  <si>
    <t>Current price: 23.4000</t>
  </si>
  <si>
    <t xml:space="preserve"> + t+1: pred=22.6010 (-3.41%) =&gt; SELL  CI=22.275-22.927</t>
  </si>
  <si>
    <t xml:space="preserve"> + t+2: pred=21.9230 (-6.31%) =&gt; SELL  CI=21.597-22.249</t>
  </si>
  <si>
    <t xml:space="preserve"> + t+3: pred=21.2653 (-9.12%) =&gt; SELL  CI=20.939-21.591</t>
  </si>
  <si>
    <t>[10:30-check - 14:30-check] 2025-09-15 14:31:51 - Ticker: LH.BK - Interval: 5m</t>
  </si>
  <si>
    <t>Current price: 4.2600</t>
  </si>
  <si>
    <t xml:space="preserve"> + t+1: pred=4.3878 (3.00%) =&gt; BUY  CI=4.062-4.714</t>
  </si>
  <si>
    <t xml:space="preserve"> + t+2: pred=4.5194 (6.09%) =&gt; BUY  CI=4.193-4.845</t>
  </si>
  <si>
    <t xml:space="preserve"> + t+3: pred=4.6550 (9.27%) =&gt; BUY  CI=4.329-4.981</t>
  </si>
  <si>
    <t>[10:30-check - 14:30-check] 2025-09-15 14:33:28 - Ticker: BDMS.BK - Interval: 5m</t>
  </si>
  <si>
    <t>Current price: 21.0000</t>
  </si>
  <si>
    <t xml:space="preserve"> + t+1: pred=20.2730 (-3.46%) =&gt; SELL  CI=19.947-20.599</t>
  </si>
  <si>
    <t xml:space="preserve"> + t+2: pred=19.6648 (-6.36%) =&gt; SELL  CI=19.339-19.991</t>
  </si>
  <si>
    <t xml:space="preserve"> + t+3: pred=19.2341 (-8.41%) =&gt; SELL  CI=18.908-19.560</t>
  </si>
  <si>
    <t>[10:30-check - 14:30-check] 2025-09-15 14:33:58 - Ticker: AOT.BK - Interval: 5m</t>
  </si>
  <si>
    <t>Current price: 38.5000</t>
  </si>
  <si>
    <t xml:space="preserve"> + t+1: pred=37.1025 (-3.63%) =&gt; SELL  CI=36.777-37.428</t>
  </si>
  <si>
    <t xml:space="preserve"> + t+2: pred=35.9894 (-6.52%) =&gt; SELL  CI=35.663-36.315</t>
  </si>
  <si>
    <t xml:space="preserve"> + t+3: pred=34.9097 (-9.33%) =&gt; SELL  CI=34.584-35.236</t>
  </si>
  <si>
    <t>[10:30-check - 14:30-check] 2025-09-15 14:34:58 - Ticker: CPALL.BK - Interval: 5m</t>
  </si>
  <si>
    <t>Current price: 48.0000</t>
  </si>
  <si>
    <t xml:space="preserve"> + t+1: pred=46.5600 (-3.00%) =&gt; SELL  CI=46.234-46.886</t>
  </si>
  <si>
    <t xml:space="preserve"> + t+2: pred=45.1632 (-5.91%) =&gt; SELL  CI=44.837-45.489</t>
  </si>
  <si>
    <t xml:space="preserve"> + t+3: pred=43.8083 (-8.73%) =&gt; SELL  CI=43.482-44.134</t>
  </si>
  <si>
    <t>[10:30-check - 14:30-check] 2025-09-15 14:35:35 - Ticker: CPF.BK - Interval: 5m</t>
  </si>
  <si>
    <t>Current price: 23.5000</t>
  </si>
  <si>
    <t xml:space="preserve"> + t+1: pred=22.7950 (-3.00%) =&gt; SELL  CI=22.469-23.121</t>
  </si>
  <si>
    <t xml:space="preserve"> + t+2: pred=22.1111 (-5.91%) =&gt; SELL  CI=21.785-22.437</t>
  </si>
  <si>
    <t xml:space="preserve"> + t+3: pred=21.4478 (-8.73%) =&gt; SELL  CI=21.122-21.774</t>
  </si>
  <si>
    <t>[10:30-check - 14:30-check] 2025-09-15 15:37:22 - Ticker: AWC.BK - Interval: 5m</t>
  </si>
  <si>
    <t>[10:30-check - 14:30-check] 2025-09-15 15:38:14 - Ticker: BCH.BK - Interval: 5m</t>
  </si>
  <si>
    <t>[10:30-check - 14:30-check] 2025-09-15 15:38:52 - Ticker: TLI.BK - Interval: 5m</t>
  </si>
  <si>
    <t>Current price: 10.2000</t>
  </si>
  <si>
    <t xml:space="preserve"> + t+1: pred=10.6090 (4.01%) =&gt; BUY  CI=10.283-10.935</t>
  </si>
  <si>
    <t xml:space="preserve"> + t+2: pred=10.9273 (7.13%) =&gt; BUY  CI=10.601-11.253</t>
  </si>
  <si>
    <t xml:space="preserve"> + t+3: pred=11.2551 (10.34%) =&gt; BUY  CI=10.929-11.581</t>
  </si>
  <si>
    <t>[10:30-check - 14:30-check] 2025-09-15 15:39:33 - Ticker: SPRC.BK - Interval: 5m</t>
  </si>
  <si>
    <t>Current price: 5.1000</t>
  </si>
  <si>
    <t xml:space="preserve"> + t+1: pred=5.2530 (3.00%) =&gt; BUY  CI=4.927-5.579</t>
  </si>
  <si>
    <t xml:space="preserve"> + t+2: pred=5.4106 (6.09%) =&gt; BUY  CI=5.085-5.737</t>
  </si>
  <si>
    <t xml:space="preserve"> + t+3: pred=5.5729 (9.27%) =&gt; BUY  CI=5.247-5.899</t>
  </si>
  <si>
    <t>[10:30-check - 14:30-check] 2025-09-15 15:40:05 - Ticker: HMPRO.BK - Interval: 5m</t>
  </si>
  <si>
    <t>Current price: 7.6000</t>
  </si>
  <si>
    <t xml:space="preserve"> + t+1: pred=7.8795 (3.68%) =&gt; BUY  CI=7.554-8.205</t>
  </si>
  <si>
    <t xml:space="preserve"> + t+2: pred=8.1159 (6.79%) =&gt; BUY  CI=7.790-8.442</t>
  </si>
  <si>
    <t xml:space="preserve"> + t+3: pred=8.3594 (9.99%) =&gt; BUY  CI=8.033-8.685</t>
  </si>
  <si>
    <t>[10:30-check - 14:30-check] 2025-09-15 15:40:42 - Ticker: LH.BK - Interval: 5m</t>
  </si>
  <si>
    <t>Current price: 4.2800</t>
  </si>
  <si>
    <t xml:space="preserve"> + t+1: pred=4.4084 (3.00%) =&gt; BUY  CI=4.082-4.734</t>
  </si>
  <si>
    <t xml:space="preserve"> + t+2: pred=4.5407 (6.09%) =&gt; BUY  CI=4.215-4.867</t>
  </si>
  <si>
    <t xml:space="preserve"> + t+3: pred=4.6769 (9.27%) =&gt; BUY  CI=4.351-5.003</t>
  </si>
  <si>
    <t>[10:30-check - 14:30-check] 2025-09-15 15:41:21 - Ticker: CRC.BK - Interval: 5m</t>
  </si>
  <si>
    <t xml:space="preserve"> + t+1: pred=22.6980 (-3.41%) =&gt; SELL  CI=22.372-23.024</t>
  </si>
  <si>
    <t xml:space="preserve"> + t+2: pred=22.0171 (-6.31%) =&gt; SELL  CI=21.691-22.343</t>
  </si>
  <si>
    <t xml:space="preserve"> + t+3: pred=21.3565 (-9.12%) =&gt; SELL  CI=21.031-21.683</t>
  </si>
  <si>
    <t>[10:30-check - 14:30-check] 2025-09-15 15:42:10 - Ticker: BDMS.BK - Interval: 5m</t>
  </si>
  <si>
    <t>Current price: 20.9000</t>
  </si>
  <si>
    <t xml:space="preserve"> + t+1: pred=20.2730 (-3.00%) =&gt; SELL  CI=19.947-20.599</t>
  </si>
  <si>
    <t xml:space="preserve"> + t+2: pred=19.6648 (-5.91%) =&gt; SELL  CI=19.339-19.991</t>
  </si>
  <si>
    <t xml:space="preserve"> + t+3: pred=19.2341 (-7.97%) =&gt; SELL  CI=18.908-19.560</t>
  </si>
  <si>
    <t>[10:30-check - 14:30-check] 2025-09-15 15:42:38 - Ticker: AOT.BK - Interval: 5m</t>
  </si>
  <si>
    <t>Current price: 38.7500</t>
  </si>
  <si>
    <t xml:space="preserve"> + t+1: pred=37.3450 (-3.63%) =&gt; SELL  CI=37.019-37.671</t>
  </si>
  <si>
    <t xml:space="preserve"> + t+2: pred=36.2246 (-6.52%) =&gt; SELL  CI=35.899-36.551</t>
  </si>
  <si>
    <t xml:space="preserve"> + t+3: pred=35.1379 (-9.32%) =&gt; SELL  CI=34.812-35.464</t>
  </si>
  <si>
    <t>[10:30-check - 14:30-check] 2025-09-15 15:43:17 - Ticker: CPALL.BK - Interval: 5m</t>
  </si>
  <si>
    <t>Current price: 48.2500</t>
  </si>
  <si>
    <t xml:space="preserve"> + t+1: pred=46.5600 (-3.50%) =&gt; SELL  CI=46.234-46.886</t>
  </si>
  <si>
    <t xml:space="preserve"> + t+2: pred=45.1632 (-6.40%) =&gt; SELL  CI=44.837-45.489</t>
  </si>
  <si>
    <t xml:space="preserve"> + t+3: pred=43.8083 (-9.21%) =&gt; SELL  CI=43.482-44.134</t>
  </si>
  <si>
    <t>[10:30-check - 14:30-check] 2025-09-15 15:43:45 - Ticker: CPF.BK - Interval: 5m</t>
  </si>
  <si>
    <t xml:space="preserve"> + t+1: pred=22.7950 (-3.41%) =&gt; SELL  CI=22.469-23.121</t>
  </si>
  <si>
    <t xml:space="preserve"> + t+2: pred=22.1111 (-6.31%) =&gt; SELL  CI=21.785-22.437</t>
  </si>
  <si>
    <t xml:space="preserve"> + t+3: pred=21.4478 (-9.12%) =&gt; SELL  CI=21.122-21.774</t>
  </si>
  <si>
    <t>[10:30-check - 14:30-check] 2025-09-15 15:44:20 - Ticker: COM7.BK - Interval: 5m</t>
  </si>
  <si>
    <t xml:space="preserve"> + t+1: pred=23.3770 (-3.40%) =&gt; SELL  CI=23.051-23.703</t>
  </si>
  <si>
    <t xml:space="preserve"> + t+2: pred=22.6757 (-6.30%) =&gt; SELL  CI=22.350-23.002</t>
  </si>
  <si>
    <t xml:space="preserve"> + t+3: pred=21.9954 (-9.11%) =&gt; SELL  CI=21.669-22.321</t>
  </si>
  <si>
    <t>[10:30-check - 14:30-check] 2025-09-15 16:08:44 - Ticker: AWC.BK - Interval: 5m</t>
  </si>
  <si>
    <t xml:space="preserve"> + t+1: pred=2.4514 (3.00%) =&gt; BUY  CI=2.125-2.777</t>
  </si>
  <si>
    <t xml:space="preserve"> + t+2: pred=2.5249 (6.09%) =&gt; BUY  CI=2.199-2.851</t>
  </si>
  <si>
    <t xml:space="preserve"> + t+3: pred=2.6007 (9.27%) =&gt; BUY  CI=2.275-2.927</t>
  </si>
  <si>
    <t>[10:30-check - 14:30-check] 2025-09-15 16:11:20 - Ticker: BCH.BK - Interval: 5m</t>
  </si>
  <si>
    <t>[10:30-check - 14:30-check] 2025-09-15 16:11:48 - Ticker: COM7.BK - Interval: 5m</t>
  </si>
  <si>
    <t>Current price: 24.4000</t>
  </si>
  <si>
    <t xml:space="preserve"> + t+1: pred=23.3770 (-4.19%) =&gt; SELL  CI=23.051-23.703</t>
  </si>
  <si>
    <t xml:space="preserve"> + t+2: pred=22.6757 (-7.07%) =&gt; SELL  CI=22.350-23.002</t>
  </si>
  <si>
    <t xml:space="preserve"> + t+3: pred=21.9954 (-9.85%) =&gt; SELL  CI=21.669-22.321</t>
  </si>
  <si>
    <t>[10:30-check - 14:30-check] 2025-09-15 16:12:41 - Ticker: TLI.BK - Interval: 5m</t>
  </si>
  <si>
    <t>[10:30-check - 14:30-check] 2025-09-15 16:13:08 - Ticker: SPRC.BK - Interval: 5m</t>
  </si>
  <si>
    <t>[10:30-check - 14:30-check] 2025-09-15 16:13:37 - Ticker: HMPRO.BK - Interval: 5m</t>
  </si>
  <si>
    <t>[10:30-check - 14:30-check] 2025-09-15 16:14:03 - Ticker: LH.BK - Interval: 5m</t>
  </si>
  <si>
    <t>[10:30-check - 14:30-check] 2025-09-15 16:14:35 - Ticker: CRC.BK - Interval: 5m</t>
  </si>
  <si>
    <t>[10:30-check - 14:30-check] 2025-09-15 16:15:05 - Ticker: BDMS.BK - Interval: 5m</t>
  </si>
  <si>
    <t>[10:30-check - 14:30-check] 2025-09-15 16:15:39 - Ticker: AOT.BK - Interval: 5m</t>
  </si>
  <si>
    <t xml:space="preserve"> + t+1: pred=37.3450 (-3.00%) =&gt; SELL  CI=37.019-37.671</t>
  </si>
  <si>
    <t xml:space="preserve"> + t+2: pred=36.2246 (-5.91%) =&gt; SELL  CI=35.899-36.551</t>
  </si>
  <si>
    <t xml:space="preserve"> + t+3: pred=35.1379 (-8.73%) =&gt; SELL  CI=34.812-35.464</t>
  </si>
  <si>
    <t>[10:30-check - 14:30-check] 2025-09-15 16:16:09 - Ticker: CPALL.BK - Interval: 5m</t>
  </si>
  <si>
    <t>[10:30-check - 14:30-check] 2025-09-15 16:16:31 - Ticker: CPF.BK - Interval: 5m</t>
  </si>
  <si>
    <t>Current price: 23.7000</t>
  </si>
  <si>
    <t xml:space="preserve"> + t+1: pred=22.7950 (-3.82%) =&gt; SELL  CI=22.469-23.121</t>
  </si>
  <si>
    <t xml:space="preserve"> + t+2: pred=22.1111 (-6.70%) =&gt; SELL  CI=21.785-22.437</t>
  </si>
  <si>
    <t xml:space="preserve"> + t+3: pred=21.4478 (-9.50%) =&gt; SELL  CI=21.122-21.774</t>
  </si>
  <si>
    <t>ราคาปิด</t>
  </si>
  <si>
    <t xml:space="preserve">C:\Program Files\Python311\python.exe "C:\SET_PROJECT\SET Project\For_Test_2.py" </t>
  </si>
  <si>
    <t>Fetching intraday data...</t>
  </si>
  <si>
    <t>DEBUG Columns: ["('datetime', '')", 'close', 'high', 'low', 'open', 'volume']</t>
  </si>
  <si>
    <t xml:space="preserve">           ('datetime', '')  close   high    low   open  volume</t>
  </si>
  <si>
    <t>0 2025-09-08 03:00:00+00:00  25.50  25.75  25.50  25.75       0</t>
  </si>
  <si>
    <t>1 2025-09-08 03:05:00+00:00  25.50  25.50  25.50  25.50  406827</t>
  </si>
  <si>
    <t>2 2025-09-08 03:10:00+00:00  25.50  25.50  25.25  25.50  307200</t>
  </si>
  <si>
    <t>3 2025-09-08 03:15:00+00:00  25.75  25.75  25.50  25.50  284508</t>
  </si>
  <si>
    <t>4 2025-09-08 03:20:00+00:00  25.75  25.75  25.50  25.75   14600</t>
  </si>
  <si>
    <t>Using dynamic threshold: 0.0045</t>
  </si>
  <si>
    <t>Training done. Best params: {'learning_rate': 0.01, 'max_depth': 5, 'min_child_weight': 1, 'n_estimators': 50}</t>
  </si>
  <si>
    <t>--- Forecast Signals (2025-09-16 11:04:21 - Ticker: COM7.BK - Interval: 5m) ---</t>
  </si>
  <si>
    <t>t+1: HOLD @ 25.25</t>
  </si>
  <si>
    <t>t+2: HOLD @ 25.25</t>
  </si>
  <si>
    <t>t+3: BUY @ 25.33</t>
  </si>
  <si>
    <t>t+4: BUY @ 25.40</t>
  </si>
  <si>
    <t>t+5: BUY @ 25.48</t>
  </si>
  <si>
    <t>Simulated PnL over 5 steps: 0.15</t>
  </si>
  <si>
    <t xml:space="preserve">C:\Program Files\Python311\python.exe "C:\SET_PROJECT\SET Project\main_51_fetch intraday feature engineering.py" </t>
  </si>
  <si>
    <t>Fetching intraday data: COM7.BK 5m period=30d ...</t>
  </si>
  <si>
    <t>DEBUG columns after normalize: [('Datetime', ''), ('Close', 'COM7.BK'), ('High', 'COM7.BK'), ('Low', 'COM7.BK'), ('Open', 'COM7.BK'), ('Volume', 'COM7.BK')]</t>
  </si>
  <si>
    <t>Training done. Best params: {'learning_rate': 0.01, 'max_depth': 3, 'min_child_weight': 3, 'n_estimators': 50}</t>
  </si>
  <si>
    <t>--- Forecast Signals (2025-09-16 12:13:18 - Ticker: COM7.BK - Interval: 5m) ---</t>
  </si>
  <si>
    <t>t+1: HOLD @ 25.00</t>
  </si>
  <si>
    <t>t+2: HOLD @ 25.00</t>
  </si>
  <si>
    <t>t+3: BUY @ 25.07</t>
  </si>
  <si>
    <t>t+4: HOLD @ 25.07</t>
  </si>
  <si>
    <t>t+5: HOLD @ 25.07</t>
  </si>
  <si>
    <t>Simulated PnL over 5 steps: 0.00</t>
  </si>
  <si>
    <t>Process finished with exit code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</si>
</sst>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b/>
      <sz val="14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b/>
      <sz val="14"/>
      <color theme="4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rgb="FF0070C0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name val="Tahoma"/>
      <family val="2"/>
      <scheme val="minor"/>
    </font>
    <font>
      <b/>
      <sz val="11"/>
      <color theme="1"/>
      <name val="Tahoma"/>
      <family val="2"/>
      <charset val="222"/>
      <scheme val="minor"/>
    </font>
    <font>
      <b/>
      <sz val="11"/>
      <color rgb="FF00B050"/>
      <name val="Tahoma"/>
      <family val="2"/>
      <scheme val="minor"/>
    </font>
    <font>
      <b/>
      <sz val="18"/>
      <color rgb="FF111827"/>
      <name val="Arial"/>
      <family val="2"/>
    </font>
    <font>
      <b/>
      <sz val="11"/>
      <name val="Tahoma"/>
      <family val="2"/>
      <scheme val="minor"/>
    </font>
    <font>
      <b/>
      <u/>
      <sz val="14"/>
      <color theme="1"/>
      <name val="Tahoma"/>
      <family val="2"/>
      <scheme val="minor"/>
    </font>
    <font>
      <b/>
      <u/>
      <sz val="14"/>
      <color rgb="FFFF0000"/>
      <name val="Tahoma"/>
      <family val="2"/>
      <scheme val="minor"/>
    </font>
    <font>
      <b/>
      <u/>
      <sz val="14"/>
      <color rgb="FF00B050"/>
      <name val="Tahoma"/>
      <family val="2"/>
      <scheme val="minor"/>
    </font>
    <font>
      <b/>
      <sz val="12"/>
      <color rgb="FFFF0000"/>
      <name val="Tahoma"/>
      <family val="2"/>
      <scheme val="minor"/>
    </font>
    <font>
      <b/>
      <sz val="16"/>
      <color rgb="FFFF0000"/>
      <name val="Tahoma"/>
      <family val="2"/>
      <scheme val="minor"/>
    </font>
    <font>
      <b/>
      <sz val="14"/>
      <name val="Tahoma"/>
      <family val="2"/>
      <scheme val="minor"/>
    </font>
    <font>
      <b/>
      <sz val="14"/>
      <color rgb="FF0070C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14" fontId="3" fillId="0" borderId="0" xfId="0" applyNumberFormat="1" applyFont="1"/>
    <xf numFmtId="14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4" fontId="1" fillId="0" borderId="1" xfId="0" applyNumberFormat="1" applyFont="1" applyBorder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2" xfId="0" applyBorder="1"/>
    <xf numFmtId="0" fontId="4" fillId="0" borderId="0" xfId="0" applyFont="1"/>
    <xf numFmtId="0" fontId="4" fillId="0" borderId="0" xfId="0" quotePrefix="1" applyFont="1" applyAlignment="1">
      <alignment horizontal="right"/>
    </xf>
    <xf numFmtId="0" fontId="7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8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1" fillId="0" borderId="0" xfId="0" applyFont="1" applyAlignment="1">
      <alignment vertical="center"/>
    </xf>
    <xf numFmtId="0" fontId="9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4" fillId="0" borderId="3" xfId="0" applyFont="1" applyBorder="1"/>
    <xf numFmtId="0" fontId="4" fillId="0" borderId="4" xfId="0" quotePrefix="1" applyFont="1" applyBorder="1" applyAlignment="1">
      <alignment horizontal="right"/>
    </xf>
    <xf numFmtId="0" fontId="1" fillId="0" borderId="0" xfId="0" applyFont="1"/>
    <xf numFmtId="0" fontId="0" fillId="2" borderId="0" xfId="0" applyFill="1"/>
    <xf numFmtId="0" fontId="4" fillId="0" borderId="6" xfId="0" applyFont="1" applyBorder="1"/>
    <xf numFmtId="0" fontId="0" fillId="0" borderId="3" xfId="0" applyBorder="1"/>
    <xf numFmtId="0" fontId="16" fillId="0" borderId="6" xfId="0" applyFont="1" applyBorder="1"/>
    <xf numFmtId="0" fontId="0" fillId="3" borderId="0" xfId="0" applyFill="1"/>
    <xf numFmtId="0" fontId="17" fillId="0" borderId="1" xfId="0" applyFont="1" applyBorder="1"/>
    <xf numFmtId="0" fontId="17" fillId="0" borderId="10" xfId="0" applyFont="1" applyBorder="1"/>
    <xf numFmtId="0" fontId="0" fillId="0" borderId="11" xfId="0" applyBorder="1"/>
    <xf numFmtId="0" fontId="4" fillId="0" borderId="10" xfId="0" applyFont="1" applyBorder="1"/>
    <xf numFmtId="0" fontId="0" fillId="0" borderId="12" xfId="0" applyBorder="1"/>
    <xf numFmtId="0" fontId="4" fillId="0" borderId="12" xfId="0" applyFont="1" applyBorder="1"/>
    <xf numFmtId="0" fontId="1" fillId="0" borderId="11" xfId="0" applyFont="1" applyBorder="1"/>
    <xf numFmtId="0" fontId="18" fillId="0" borderId="11" xfId="0" applyFont="1" applyBorder="1"/>
    <xf numFmtId="0" fontId="5" fillId="0" borderId="12" xfId="0" applyFont="1" applyBorder="1"/>
    <xf numFmtId="0" fontId="5" fillId="0" borderId="10" xfId="0" applyFont="1" applyBorder="1"/>
    <xf numFmtId="0" fontId="19" fillId="0" borderId="11" xfId="0" applyFont="1" applyBorder="1"/>
    <xf numFmtId="0" fontId="7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8849-4107-4BD2-AADA-6D59CCB0675F}">
  <dimension ref="B4:I6"/>
  <sheetViews>
    <sheetView workbookViewId="0">
      <selection activeCell="F17" sqref="F17"/>
    </sheetView>
  </sheetViews>
  <sheetFormatPr defaultRowHeight="14.25" x14ac:dyDescent="0.2"/>
  <cols>
    <col min="1" max="1" width="4.375" customWidth="1"/>
    <col min="3" max="3" width="15.375" customWidth="1"/>
    <col min="4" max="4" width="13.5" customWidth="1"/>
    <col min="5" max="5" width="13.25" customWidth="1"/>
    <col min="6" max="6" width="12.5" customWidth="1"/>
    <col min="7" max="7" width="13.375" customWidth="1"/>
    <col min="8" max="8" width="14.125" customWidth="1"/>
    <col min="9" max="9" width="14.75" customWidth="1"/>
  </cols>
  <sheetData>
    <row r="4" spans="2:9" ht="18" x14ac:dyDescent="0.25">
      <c r="B4" s="1"/>
      <c r="C4" s="4"/>
      <c r="D4" s="5" t="s">
        <v>5</v>
      </c>
      <c r="E4" s="5" t="s">
        <v>0</v>
      </c>
      <c r="F4" s="5" t="s">
        <v>1</v>
      </c>
      <c r="G4" s="5" t="s">
        <v>2</v>
      </c>
      <c r="H4" s="6"/>
      <c r="I4" s="3"/>
    </row>
    <row r="5" spans="2:9" ht="18" x14ac:dyDescent="0.25">
      <c r="B5" s="2" t="s">
        <v>3</v>
      </c>
      <c r="C5" s="7">
        <v>45897</v>
      </c>
      <c r="D5" s="8">
        <v>25.5</v>
      </c>
      <c r="E5" s="9">
        <v>1000</v>
      </c>
      <c r="F5" s="10">
        <f>((D5*0.157)/100)*E5</f>
        <v>40.035000000000004</v>
      </c>
      <c r="G5" s="10">
        <f>((F5*0.0007)*100)</f>
        <v>2.8024499999999999</v>
      </c>
      <c r="H5" s="11">
        <f>(D5*E5)+F5+G5</f>
        <v>25542.837449999999</v>
      </c>
      <c r="I5" s="3"/>
    </row>
    <row r="6" spans="2:9" ht="18" x14ac:dyDescent="0.25">
      <c r="B6" s="2" t="s">
        <v>4</v>
      </c>
      <c r="C6" s="7">
        <v>45912</v>
      </c>
      <c r="D6" s="8">
        <v>24.1</v>
      </c>
      <c r="E6" s="9">
        <v>1000</v>
      </c>
      <c r="F6" s="10">
        <f>((D6*0.157)/100)*E6</f>
        <v>37.837000000000003</v>
      </c>
      <c r="G6" s="10">
        <f t="shared" ref="G6" si="0">((F6*0.0007)*100)</f>
        <v>2.6485900000000004</v>
      </c>
      <c r="H6" s="11">
        <f>(D6*E6)-F6-G6</f>
        <v>24059.51441</v>
      </c>
      <c r="I6" s="11">
        <f>H6-H5</f>
        <v>-1483.3230399999993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BC3A-ED13-4A69-911E-8636A7DD77EC}">
  <dimension ref="B2:R159"/>
  <sheetViews>
    <sheetView topLeftCell="A130" workbookViewId="0">
      <selection activeCell="P68" sqref="P68"/>
    </sheetView>
  </sheetViews>
  <sheetFormatPr defaultRowHeight="14.25" x14ac:dyDescent="0.2"/>
  <cols>
    <col min="1" max="1" width="5.375" customWidth="1"/>
    <col min="2" max="2" width="8.625" customWidth="1"/>
    <col min="3" max="3" width="11.625" customWidth="1"/>
    <col min="4" max="4" width="11.5" customWidth="1"/>
    <col min="5" max="5" width="12.625" customWidth="1"/>
    <col min="6" max="6" width="11.375" customWidth="1"/>
    <col min="7" max="7" width="13.125" customWidth="1"/>
    <col min="8" max="8" width="10.625" customWidth="1"/>
    <col min="9" max="9" width="11.875" customWidth="1"/>
    <col min="10" max="10" width="12" customWidth="1"/>
    <col min="11" max="11" width="11.875" customWidth="1"/>
    <col min="12" max="12" width="12" customWidth="1"/>
    <col min="13" max="13" width="13.75" customWidth="1"/>
    <col min="14" max="14" width="9.75" customWidth="1"/>
    <col min="15" max="15" width="11.375" customWidth="1"/>
    <col min="16" max="16" width="11.75" customWidth="1"/>
    <col min="17" max="17" width="11.375" customWidth="1"/>
    <col min="18" max="18" width="11.75" customWidth="1"/>
  </cols>
  <sheetData>
    <row r="2" spans="2:18" x14ac:dyDescent="0.2">
      <c r="B2" t="s">
        <v>17</v>
      </c>
      <c r="H2" t="s">
        <v>16</v>
      </c>
      <c r="N2" t="s">
        <v>18</v>
      </c>
    </row>
    <row r="3" spans="2:18" x14ac:dyDescent="0.2">
      <c r="B3" t="s">
        <v>11</v>
      </c>
      <c r="C3" s="14" t="s">
        <v>12</v>
      </c>
      <c r="D3" s="14" t="s">
        <v>15</v>
      </c>
      <c r="E3" s="14" t="s">
        <v>10</v>
      </c>
      <c r="H3" t="s">
        <v>11</v>
      </c>
      <c r="I3" s="14" t="s">
        <v>12</v>
      </c>
      <c r="J3" s="14" t="s">
        <v>15</v>
      </c>
      <c r="K3" s="14" t="s">
        <v>10</v>
      </c>
      <c r="N3" t="s">
        <v>11</v>
      </c>
      <c r="O3" s="14" t="s">
        <v>12</v>
      </c>
      <c r="P3" s="14" t="s">
        <v>15</v>
      </c>
      <c r="Q3" s="14" t="s">
        <v>10</v>
      </c>
    </row>
    <row r="4" spans="2:18" x14ac:dyDescent="0.2">
      <c r="B4" t="s">
        <v>7</v>
      </c>
      <c r="H4" t="s">
        <v>7</v>
      </c>
      <c r="N4" t="s">
        <v>7</v>
      </c>
    </row>
    <row r="5" spans="2:18" x14ac:dyDescent="0.2">
      <c r="B5" s="13">
        <v>238</v>
      </c>
      <c r="C5" s="12">
        <v>45908</v>
      </c>
      <c r="D5">
        <v>31.75</v>
      </c>
      <c r="E5">
        <v>1</v>
      </c>
      <c r="H5" s="13">
        <v>238</v>
      </c>
      <c r="I5" s="12">
        <v>45908</v>
      </c>
      <c r="J5">
        <v>25</v>
      </c>
      <c r="K5">
        <v>1</v>
      </c>
      <c r="N5" s="13">
        <v>238</v>
      </c>
      <c r="O5" s="12">
        <v>45908</v>
      </c>
      <c r="P5">
        <v>23.299999</v>
      </c>
      <c r="Q5">
        <v>1</v>
      </c>
    </row>
    <row r="6" spans="2:18" x14ac:dyDescent="0.2">
      <c r="B6" s="13">
        <v>239</v>
      </c>
      <c r="C6" s="12">
        <v>45909</v>
      </c>
      <c r="D6">
        <v>32.5</v>
      </c>
      <c r="E6">
        <v>1</v>
      </c>
      <c r="H6" s="13">
        <v>239</v>
      </c>
      <c r="I6" s="12">
        <v>45909</v>
      </c>
      <c r="J6">
        <v>25.25</v>
      </c>
      <c r="K6">
        <v>0</v>
      </c>
      <c r="N6" s="13">
        <v>239</v>
      </c>
      <c r="O6" s="12">
        <v>45909</v>
      </c>
      <c r="P6">
        <v>23.200001</v>
      </c>
      <c r="Q6">
        <v>0</v>
      </c>
    </row>
    <row r="7" spans="2:18" x14ac:dyDescent="0.2">
      <c r="B7" s="13">
        <v>240</v>
      </c>
      <c r="C7" s="12">
        <v>45910</v>
      </c>
      <c r="D7">
        <v>32.25</v>
      </c>
      <c r="E7">
        <v>1</v>
      </c>
      <c r="H7" s="13">
        <v>240</v>
      </c>
      <c r="I7" s="12">
        <v>45910</v>
      </c>
      <c r="J7">
        <v>24.4</v>
      </c>
      <c r="K7">
        <v>1</v>
      </c>
      <c r="N7" s="13">
        <v>240</v>
      </c>
      <c r="O7" s="12">
        <v>45910</v>
      </c>
      <c r="P7">
        <v>24.1</v>
      </c>
      <c r="Q7">
        <v>1</v>
      </c>
    </row>
    <row r="8" spans="2:18" x14ac:dyDescent="0.2">
      <c r="B8" s="13">
        <v>241</v>
      </c>
      <c r="C8" s="12">
        <v>45911</v>
      </c>
      <c r="D8">
        <v>33.25</v>
      </c>
      <c r="E8">
        <v>1</v>
      </c>
      <c r="H8" s="13">
        <v>241</v>
      </c>
      <c r="I8" s="12">
        <v>45911</v>
      </c>
      <c r="J8">
        <v>24.200001</v>
      </c>
      <c r="K8">
        <v>1</v>
      </c>
      <c r="N8" s="13">
        <v>241</v>
      </c>
      <c r="O8" s="12">
        <v>45911</v>
      </c>
      <c r="P8">
        <v>23.799999</v>
      </c>
      <c r="Q8">
        <v>0</v>
      </c>
    </row>
    <row r="9" spans="2:18" x14ac:dyDescent="0.2">
      <c r="B9" s="13">
        <v>242</v>
      </c>
      <c r="C9" s="12">
        <v>45912</v>
      </c>
      <c r="D9" s="16">
        <v>33.25</v>
      </c>
      <c r="E9">
        <v>1</v>
      </c>
      <c r="H9" s="13">
        <v>242</v>
      </c>
      <c r="I9" s="12">
        <v>45912</v>
      </c>
      <c r="J9" s="16">
        <v>24</v>
      </c>
      <c r="K9">
        <v>1</v>
      </c>
      <c r="N9" s="13">
        <v>242</v>
      </c>
      <c r="O9" s="12">
        <v>45912</v>
      </c>
      <c r="P9" s="16">
        <v>23.799999</v>
      </c>
      <c r="Q9">
        <v>0</v>
      </c>
    </row>
    <row r="11" spans="2:18" x14ac:dyDescent="0.2">
      <c r="B11" t="s">
        <v>6</v>
      </c>
      <c r="H11" t="s">
        <v>6</v>
      </c>
      <c r="N11" t="s">
        <v>6</v>
      </c>
    </row>
    <row r="12" spans="2:18" x14ac:dyDescent="0.2">
      <c r="C12" s="14" t="s">
        <v>13</v>
      </c>
      <c r="D12" s="14" t="s">
        <v>14</v>
      </c>
      <c r="E12" s="14" t="s">
        <v>8</v>
      </c>
      <c r="F12" s="14" t="s">
        <v>9</v>
      </c>
      <c r="I12" s="14" t="s">
        <v>13</v>
      </c>
      <c r="J12" s="14" t="s">
        <v>14</v>
      </c>
      <c r="K12" s="14" t="s">
        <v>8</v>
      </c>
      <c r="L12" s="14" t="s">
        <v>9</v>
      </c>
      <c r="O12" s="14" t="s">
        <v>13</v>
      </c>
      <c r="P12" s="14" t="s">
        <v>14</v>
      </c>
      <c r="Q12" s="14" t="s">
        <v>8</v>
      </c>
      <c r="R12" s="14" t="s">
        <v>9</v>
      </c>
    </row>
    <row r="13" spans="2:18" x14ac:dyDescent="0.2">
      <c r="B13" s="13">
        <v>243</v>
      </c>
      <c r="C13" s="12">
        <v>45913</v>
      </c>
      <c r="D13" s="18">
        <v>32.445196000000003</v>
      </c>
      <c r="E13">
        <v>31.566991999999999</v>
      </c>
      <c r="F13">
        <v>33.305297000000003</v>
      </c>
      <c r="H13" s="13">
        <v>243</v>
      </c>
      <c r="I13" s="12">
        <v>45913</v>
      </c>
      <c r="J13" s="19">
        <v>26.306097999999999</v>
      </c>
      <c r="K13">
        <v>25.242426999999999</v>
      </c>
      <c r="L13">
        <v>27.365822999999999</v>
      </c>
      <c r="N13" s="13">
        <v>243</v>
      </c>
      <c r="O13" s="12">
        <v>45913</v>
      </c>
      <c r="P13" s="18">
        <v>22.655487000000001</v>
      </c>
      <c r="Q13">
        <v>21.531358999999998</v>
      </c>
      <c r="R13">
        <v>23.641072000000001</v>
      </c>
    </row>
    <row r="14" spans="2:18" x14ac:dyDescent="0.2">
      <c r="B14" s="13">
        <v>244</v>
      </c>
      <c r="C14" s="12">
        <v>45914</v>
      </c>
      <c r="D14">
        <v>32.467312999999997</v>
      </c>
      <c r="E14">
        <v>31.560894000000001</v>
      </c>
      <c r="F14">
        <v>33.374816000000003</v>
      </c>
      <c r="H14" s="13">
        <v>244</v>
      </c>
      <c r="I14" s="12">
        <v>45914</v>
      </c>
      <c r="J14">
        <v>26.395624000000002</v>
      </c>
      <c r="K14">
        <v>25.332704</v>
      </c>
      <c r="L14">
        <v>27.420439999999999</v>
      </c>
      <c r="N14" s="13">
        <v>244</v>
      </c>
      <c r="O14" s="12">
        <v>45914</v>
      </c>
      <c r="P14">
        <v>22.686654999999998</v>
      </c>
      <c r="Q14">
        <v>21.679454</v>
      </c>
      <c r="R14">
        <v>23.729125</v>
      </c>
    </row>
    <row r="15" spans="2:18" x14ac:dyDescent="0.2">
      <c r="B15" s="13">
        <v>245</v>
      </c>
      <c r="C15" s="12">
        <v>45915</v>
      </c>
      <c r="D15">
        <v>32.546142000000003</v>
      </c>
      <c r="E15">
        <v>31.648060999999998</v>
      </c>
      <c r="F15">
        <v>33.484620999999997</v>
      </c>
      <c r="H15" s="13">
        <v>245</v>
      </c>
      <c r="I15" s="12">
        <v>45915</v>
      </c>
      <c r="J15">
        <v>26.276859999999999</v>
      </c>
      <c r="K15">
        <v>25.216078</v>
      </c>
      <c r="L15">
        <v>27.335545</v>
      </c>
      <c r="N15" s="13">
        <v>245</v>
      </c>
      <c r="O15" s="12">
        <v>45915</v>
      </c>
      <c r="P15">
        <v>23.085056999999999</v>
      </c>
      <c r="Q15">
        <v>22.078758000000001</v>
      </c>
      <c r="R15">
        <v>24.121594999999999</v>
      </c>
    </row>
    <row r="16" spans="2:18" x14ac:dyDescent="0.2">
      <c r="B16" s="13">
        <v>246</v>
      </c>
      <c r="C16" s="12">
        <v>45916</v>
      </c>
      <c r="D16">
        <v>32.627741999999998</v>
      </c>
      <c r="E16">
        <v>31.753253999999998</v>
      </c>
      <c r="F16">
        <v>33.503982999999998</v>
      </c>
      <c r="H16" s="13">
        <v>246</v>
      </c>
      <c r="I16" s="12">
        <v>45916</v>
      </c>
      <c r="J16">
        <v>26.377801000000002</v>
      </c>
      <c r="K16">
        <v>25.354956000000001</v>
      </c>
      <c r="L16">
        <v>27.362000999999999</v>
      </c>
      <c r="N16" s="13">
        <v>246</v>
      </c>
      <c r="O16" s="12">
        <v>45916</v>
      </c>
      <c r="P16">
        <v>23.02216</v>
      </c>
      <c r="Q16">
        <v>22.037831000000001</v>
      </c>
      <c r="R16">
        <v>24.027222999999999</v>
      </c>
    </row>
    <row r="17" spans="2:18" x14ac:dyDescent="0.2">
      <c r="B17" s="13">
        <v>247</v>
      </c>
      <c r="C17" s="12">
        <v>45917</v>
      </c>
      <c r="D17">
        <v>32.612116</v>
      </c>
      <c r="E17">
        <v>31.635047</v>
      </c>
      <c r="F17">
        <v>33.505451999999998</v>
      </c>
      <c r="H17" s="13">
        <v>247</v>
      </c>
      <c r="I17" s="12">
        <v>45917</v>
      </c>
      <c r="J17">
        <v>26.607368999999998</v>
      </c>
      <c r="K17">
        <v>25.588235000000001</v>
      </c>
      <c r="L17">
        <v>27.656247</v>
      </c>
      <c r="N17" s="13">
        <v>247</v>
      </c>
      <c r="O17" s="12">
        <v>45917</v>
      </c>
      <c r="P17">
        <v>23.131474999999998</v>
      </c>
      <c r="Q17">
        <v>22.162624999999998</v>
      </c>
      <c r="R17">
        <v>24.206771</v>
      </c>
    </row>
    <row r="18" spans="2:18" x14ac:dyDescent="0.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20" spans="2:18" ht="18" x14ac:dyDescent="0.25">
      <c r="B20" s="30" t="s">
        <v>165</v>
      </c>
      <c r="H20" s="31" t="s">
        <v>166</v>
      </c>
      <c r="N20" s="32" t="s">
        <v>167</v>
      </c>
    </row>
    <row r="22" spans="2:18" x14ac:dyDescent="0.2">
      <c r="H22" s="16" t="s">
        <v>77</v>
      </c>
      <c r="I22" s="16">
        <v>2.3199999999999998</v>
      </c>
      <c r="N22" s="16" t="s">
        <v>41</v>
      </c>
      <c r="O22" s="16">
        <v>23.8</v>
      </c>
    </row>
    <row r="23" spans="2:18" x14ac:dyDescent="0.2">
      <c r="B23" s="16" t="s">
        <v>88</v>
      </c>
      <c r="C23" s="16">
        <v>13.1</v>
      </c>
      <c r="H23" t="s">
        <v>19</v>
      </c>
      <c r="N23" t="s">
        <v>19</v>
      </c>
    </row>
    <row r="24" spans="2:18" x14ac:dyDescent="0.2">
      <c r="B24" t="s">
        <v>19</v>
      </c>
      <c r="H24" t="s">
        <v>71</v>
      </c>
      <c r="N24" s="19" t="s">
        <v>20</v>
      </c>
    </row>
    <row r="25" spans="2:18" x14ac:dyDescent="0.2">
      <c r="B25" s="16" t="s">
        <v>160</v>
      </c>
      <c r="H25" t="s">
        <v>72</v>
      </c>
      <c r="N25" s="19" t="s">
        <v>21</v>
      </c>
    </row>
    <row r="26" spans="2:18" x14ac:dyDescent="0.2">
      <c r="B26" s="16" t="s">
        <v>161</v>
      </c>
      <c r="H26" t="s">
        <v>73</v>
      </c>
      <c r="N26" s="19" t="s">
        <v>22</v>
      </c>
    </row>
    <row r="27" spans="2:18" x14ac:dyDescent="0.2">
      <c r="B27" t="s">
        <v>89</v>
      </c>
    </row>
    <row r="28" spans="2:18" x14ac:dyDescent="0.2">
      <c r="H28" t="s">
        <v>23</v>
      </c>
      <c r="N28" t="s">
        <v>23</v>
      </c>
    </row>
    <row r="29" spans="2:18" x14ac:dyDescent="0.2">
      <c r="B29" t="s">
        <v>23</v>
      </c>
      <c r="H29" t="s">
        <v>78</v>
      </c>
      <c r="N29" t="s">
        <v>42</v>
      </c>
    </row>
    <row r="30" spans="2:18" x14ac:dyDescent="0.2">
      <c r="B30" t="s">
        <v>93</v>
      </c>
      <c r="H30" t="s">
        <v>79</v>
      </c>
      <c r="N30" t="s">
        <v>162</v>
      </c>
    </row>
    <row r="31" spans="2:18" x14ac:dyDescent="0.2">
      <c r="B31" t="s">
        <v>159</v>
      </c>
      <c r="H31" t="s">
        <v>74</v>
      </c>
      <c r="N31" t="s">
        <v>24</v>
      </c>
    </row>
    <row r="32" spans="2:18" x14ac:dyDescent="0.2">
      <c r="B32" t="s">
        <v>90</v>
      </c>
      <c r="H32" t="s">
        <v>75</v>
      </c>
      <c r="N32" t="s">
        <v>25</v>
      </c>
    </row>
    <row r="33" spans="2:15" x14ac:dyDescent="0.2">
      <c r="B33" t="s">
        <v>91</v>
      </c>
      <c r="H33" t="s">
        <v>76</v>
      </c>
      <c r="N33" t="s">
        <v>26</v>
      </c>
    </row>
    <row r="34" spans="2:15" x14ac:dyDescent="0.2">
      <c r="B34" t="s">
        <v>92</v>
      </c>
    </row>
    <row r="36" spans="2:15" x14ac:dyDescent="0.2">
      <c r="B36" s="16" t="s">
        <v>51</v>
      </c>
      <c r="C36" s="16">
        <v>31</v>
      </c>
      <c r="H36" s="16" t="s">
        <v>60</v>
      </c>
      <c r="I36" s="16">
        <v>14.2</v>
      </c>
      <c r="N36" s="16" t="s">
        <v>87</v>
      </c>
      <c r="O36" s="16">
        <v>4.84</v>
      </c>
    </row>
    <row r="37" spans="2:15" x14ac:dyDescent="0.2">
      <c r="B37" t="s">
        <v>19</v>
      </c>
      <c r="H37" t="s">
        <v>19</v>
      </c>
      <c r="N37" t="s">
        <v>19</v>
      </c>
    </row>
    <row r="38" spans="2:15" x14ac:dyDescent="0.2">
      <c r="B38" t="s">
        <v>47</v>
      </c>
      <c r="H38" t="s">
        <v>54</v>
      </c>
      <c r="N38" s="19" t="s">
        <v>80</v>
      </c>
    </row>
    <row r="39" spans="2:15" x14ac:dyDescent="0.2">
      <c r="B39" s="16" t="s">
        <v>164</v>
      </c>
      <c r="H39" t="s">
        <v>55</v>
      </c>
      <c r="N39" s="19" t="s">
        <v>81</v>
      </c>
    </row>
    <row r="40" spans="2:15" x14ac:dyDescent="0.2">
      <c r="B40" t="s">
        <v>63</v>
      </c>
      <c r="H40" s="21" t="s">
        <v>56</v>
      </c>
      <c r="N40" s="19" t="s">
        <v>82</v>
      </c>
    </row>
    <row r="42" spans="2:15" x14ac:dyDescent="0.2">
      <c r="B42" t="s">
        <v>23</v>
      </c>
      <c r="H42" t="s">
        <v>23</v>
      </c>
      <c r="N42" t="s">
        <v>23</v>
      </c>
    </row>
    <row r="43" spans="2:15" x14ac:dyDescent="0.2">
      <c r="B43" t="s">
        <v>52</v>
      </c>
      <c r="H43" t="s">
        <v>61</v>
      </c>
      <c r="N43" t="s">
        <v>86</v>
      </c>
    </row>
    <row r="44" spans="2:15" x14ac:dyDescent="0.2">
      <c r="B44" t="s">
        <v>53</v>
      </c>
      <c r="H44" t="s">
        <v>62</v>
      </c>
      <c r="N44" t="s">
        <v>163</v>
      </c>
    </row>
    <row r="45" spans="2:15" x14ac:dyDescent="0.2">
      <c r="B45" t="s">
        <v>48</v>
      </c>
      <c r="H45" t="s">
        <v>57</v>
      </c>
      <c r="N45" t="s">
        <v>83</v>
      </c>
    </row>
    <row r="46" spans="2:15" x14ac:dyDescent="0.2">
      <c r="B46" t="s">
        <v>49</v>
      </c>
      <c r="H46" t="s">
        <v>58</v>
      </c>
      <c r="N46" t="s">
        <v>84</v>
      </c>
    </row>
    <row r="47" spans="2:15" x14ac:dyDescent="0.2">
      <c r="B47" t="s">
        <v>50</v>
      </c>
      <c r="H47" t="s">
        <v>59</v>
      </c>
      <c r="N47" t="s">
        <v>85</v>
      </c>
    </row>
    <row r="50" spans="2:15" x14ac:dyDescent="0.2">
      <c r="B50" s="16" t="s">
        <v>69</v>
      </c>
      <c r="C50" s="20">
        <v>7.55</v>
      </c>
      <c r="H50" s="16" t="s">
        <v>34</v>
      </c>
      <c r="I50" s="16">
        <v>33.5</v>
      </c>
      <c r="N50" s="16" t="s">
        <v>154</v>
      </c>
      <c r="O50" s="20">
        <v>24.2</v>
      </c>
    </row>
    <row r="51" spans="2:15" x14ac:dyDescent="0.2">
      <c r="B51" t="s">
        <v>19</v>
      </c>
      <c r="H51" t="s">
        <v>19</v>
      </c>
      <c r="N51" t="s">
        <v>19</v>
      </c>
    </row>
    <row r="52" spans="2:15" x14ac:dyDescent="0.2">
      <c r="B52" t="s">
        <v>64</v>
      </c>
      <c r="H52" t="s">
        <v>35</v>
      </c>
      <c r="N52" s="19" t="s">
        <v>148</v>
      </c>
    </row>
    <row r="53" spans="2:15" x14ac:dyDescent="0.2">
      <c r="B53" s="18" t="s">
        <v>157</v>
      </c>
      <c r="H53" t="s">
        <v>36</v>
      </c>
      <c r="N53" s="19" t="s">
        <v>149</v>
      </c>
    </row>
    <row r="54" spans="2:15" x14ac:dyDescent="0.2">
      <c r="B54" t="s">
        <v>65</v>
      </c>
      <c r="H54" s="21" t="s">
        <v>37</v>
      </c>
      <c r="N54" s="19" t="s">
        <v>150</v>
      </c>
    </row>
    <row r="56" spans="2:15" x14ac:dyDescent="0.2">
      <c r="B56" t="s">
        <v>23</v>
      </c>
      <c r="H56" t="s">
        <v>23</v>
      </c>
      <c r="N56" t="s">
        <v>23</v>
      </c>
    </row>
    <row r="57" spans="2:15" x14ac:dyDescent="0.2">
      <c r="B57" t="s">
        <v>70</v>
      </c>
      <c r="H57" t="s">
        <v>45</v>
      </c>
      <c r="N57" t="s">
        <v>155</v>
      </c>
    </row>
    <row r="58" spans="2:15" x14ac:dyDescent="0.2">
      <c r="B58" t="s">
        <v>158</v>
      </c>
      <c r="H58" t="s">
        <v>46</v>
      </c>
      <c r="N58" t="s">
        <v>156</v>
      </c>
    </row>
    <row r="59" spans="2:15" x14ac:dyDescent="0.2">
      <c r="B59" t="s">
        <v>66</v>
      </c>
      <c r="H59" t="s">
        <v>38</v>
      </c>
      <c r="N59" t="s">
        <v>151</v>
      </c>
    </row>
    <row r="60" spans="2:15" x14ac:dyDescent="0.2">
      <c r="B60" t="s">
        <v>67</v>
      </c>
      <c r="H60" t="s">
        <v>39</v>
      </c>
      <c r="N60" t="s">
        <v>152</v>
      </c>
    </row>
    <row r="61" spans="2:15" x14ac:dyDescent="0.2">
      <c r="B61" t="s">
        <v>68</v>
      </c>
      <c r="H61" t="s">
        <v>40</v>
      </c>
      <c r="N61" t="s">
        <v>153</v>
      </c>
    </row>
    <row r="64" spans="2:15" x14ac:dyDescent="0.2">
      <c r="B64" s="16" t="s">
        <v>104</v>
      </c>
      <c r="C64" s="17">
        <v>48.25</v>
      </c>
      <c r="H64" s="33" t="s">
        <v>27</v>
      </c>
      <c r="I64" s="34">
        <v>24.1</v>
      </c>
      <c r="J64" s="22"/>
      <c r="K64" s="22"/>
      <c r="L64" s="23"/>
    </row>
    <row r="65" spans="2:12" x14ac:dyDescent="0.2">
      <c r="B65" t="s">
        <v>19</v>
      </c>
      <c r="H65" s="24" t="s">
        <v>19</v>
      </c>
      <c r="L65" s="25"/>
    </row>
    <row r="66" spans="2:12" x14ac:dyDescent="0.2">
      <c r="B66" t="s">
        <v>110</v>
      </c>
      <c r="H66" s="24" t="s">
        <v>28</v>
      </c>
      <c r="L66" s="25"/>
    </row>
    <row r="67" spans="2:12" x14ac:dyDescent="0.2">
      <c r="B67" t="s">
        <v>111</v>
      </c>
      <c r="H67" s="24" t="s">
        <v>29</v>
      </c>
      <c r="L67" s="25"/>
    </row>
    <row r="68" spans="2:12" x14ac:dyDescent="0.2">
      <c r="B68" t="s">
        <v>109</v>
      </c>
      <c r="H68" s="24" t="s">
        <v>30</v>
      </c>
      <c r="L68" s="25"/>
    </row>
    <row r="69" spans="2:12" x14ac:dyDescent="0.2">
      <c r="H69" s="24"/>
      <c r="L69" s="25"/>
    </row>
    <row r="70" spans="2:12" x14ac:dyDescent="0.2">
      <c r="B70" t="s">
        <v>23</v>
      </c>
      <c r="H70" s="24" t="s">
        <v>23</v>
      </c>
      <c r="L70" s="25"/>
    </row>
    <row r="71" spans="2:12" x14ac:dyDescent="0.2">
      <c r="B71" t="s">
        <v>120</v>
      </c>
      <c r="H71" s="24" t="s">
        <v>43</v>
      </c>
      <c r="L71" s="25"/>
    </row>
    <row r="72" spans="2:12" x14ac:dyDescent="0.2">
      <c r="B72" t="s">
        <v>121</v>
      </c>
      <c r="H72" s="24" t="s">
        <v>44</v>
      </c>
      <c r="L72" s="25"/>
    </row>
    <row r="73" spans="2:12" x14ac:dyDescent="0.2">
      <c r="B73" t="s">
        <v>106</v>
      </c>
      <c r="H73" s="24" t="s">
        <v>31</v>
      </c>
      <c r="L73" s="25"/>
    </row>
    <row r="74" spans="2:12" x14ac:dyDescent="0.2">
      <c r="B74" t="s">
        <v>107</v>
      </c>
      <c r="H74" s="24" t="s">
        <v>32</v>
      </c>
      <c r="L74" s="25"/>
    </row>
    <row r="75" spans="2:12" x14ac:dyDescent="0.2">
      <c r="B75" t="s">
        <v>108</v>
      </c>
      <c r="H75" s="24" t="s">
        <v>33</v>
      </c>
      <c r="L75" s="25"/>
    </row>
    <row r="76" spans="2:12" x14ac:dyDescent="0.2">
      <c r="H76" s="24"/>
      <c r="L76" s="25"/>
    </row>
    <row r="77" spans="2:12" x14ac:dyDescent="0.2">
      <c r="H77" s="24" t="s">
        <v>19</v>
      </c>
      <c r="K77" t="s">
        <v>100</v>
      </c>
      <c r="L77" s="25" t="s">
        <v>103</v>
      </c>
    </row>
    <row r="78" spans="2:12" x14ac:dyDescent="0.2">
      <c r="B78" s="16" t="s">
        <v>138</v>
      </c>
      <c r="C78" s="17">
        <v>26.25</v>
      </c>
      <c r="H78" s="24" t="s">
        <v>94</v>
      </c>
      <c r="L78" s="25"/>
    </row>
    <row r="79" spans="2:12" x14ac:dyDescent="0.2">
      <c r="B79" t="s">
        <v>19</v>
      </c>
      <c r="H79" s="24" t="s">
        <v>95</v>
      </c>
      <c r="L79" s="25"/>
    </row>
    <row r="80" spans="2:12" x14ac:dyDescent="0.2">
      <c r="B80" s="18" t="s">
        <v>132</v>
      </c>
      <c r="H80" s="24" t="s">
        <v>96</v>
      </c>
      <c r="L80" s="25"/>
    </row>
    <row r="81" spans="2:12" x14ac:dyDescent="0.2">
      <c r="B81" s="18" t="s">
        <v>133</v>
      </c>
      <c r="H81" s="24"/>
      <c r="L81" s="25"/>
    </row>
    <row r="82" spans="2:12" x14ac:dyDescent="0.2">
      <c r="B82" s="18" t="s">
        <v>134</v>
      </c>
      <c r="H82" s="24" t="s">
        <v>23</v>
      </c>
      <c r="L82" s="25"/>
    </row>
    <row r="83" spans="2:12" x14ac:dyDescent="0.2">
      <c r="H83" s="24" t="s">
        <v>101</v>
      </c>
      <c r="L83" s="25"/>
    </row>
    <row r="84" spans="2:12" x14ac:dyDescent="0.2">
      <c r="B84" t="s">
        <v>23</v>
      </c>
      <c r="H84" s="24" t="s">
        <v>102</v>
      </c>
      <c r="L84" s="25"/>
    </row>
    <row r="85" spans="2:12" x14ac:dyDescent="0.2">
      <c r="B85" t="s">
        <v>140</v>
      </c>
      <c r="H85" s="24" t="s">
        <v>97</v>
      </c>
      <c r="L85" s="25"/>
    </row>
    <row r="86" spans="2:12" x14ac:dyDescent="0.2">
      <c r="B86" t="s">
        <v>139</v>
      </c>
      <c r="H86" s="24" t="s">
        <v>98</v>
      </c>
      <c r="L86" s="25"/>
    </row>
    <row r="87" spans="2:12" x14ac:dyDescent="0.2">
      <c r="B87" t="s">
        <v>135</v>
      </c>
      <c r="H87" s="26" t="s">
        <v>99</v>
      </c>
      <c r="I87" s="15"/>
      <c r="J87" s="15"/>
      <c r="K87" s="15"/>
      <c r="L87" s="27"/>
    </row>
    <row r="88" spans="2:12" x14ac:dyDescent="0.2">
      <c r="B88" t="s">
        <v>136</v>
      </c>
    </row>
    <row r="89" spans="2:12" x14ac:dyDescent="0.2">
      <c r="B89" t="s">
        <v>137</v>
      </c>
    </row>
    <row r="90" spans="2:12" x14ac:dyDescent="0.2">
      <c r="H90" s="16" t="s">
        <v>105</v>
      </c>
      <c r="I90" s="17">
        <v>23.5</v>
      </c>
    </row>
    <row r="91" spans="2:12" x14ac:dyDescent="0.2">
      <c r="H91" t="s">
        <v>19</v>
      </c>
    </row>
    <row r="92" spans="2:12" x14ac:dyDescent="0.2">
      <c r="B92" s="16" t="s">
        <v>174</v>
      </c>
      <c r="C92" s="17">
        <v>32</v>
      </c>
      <c r="H92" t="s">
        <v>112</v>
      </c>
    </row>
    <row r="93" spans="2:12" x14ac:dyDescent="0.2">
      <c r="B93" t="s">
        <v>19</v>
      </c>
      <c r="H93" t="s">
        <v>113</v>
      </c>
    </row>
    <row r="94" spans="2:12" x14ac:dyDescent="0.2">
      <c r="B94" s="18" t="s">
        <v>168</v>
      </c>
      <c r="H94" t="s">
        <v>114</v>
      </c>
    </row>
    <row r="95" spans="2:12" x14ac:dyDescent="0.2">
      <c r="B95" s="18" t="s">
        <v>169</v>
      </c>
    </row>
    <row r="96" spans="2:12" x14ac:dyDescent="0.2">
      <c r="B96" s="18" t="s">
        <v>170</v>
      </c>
      <c r="H96" t="s">
        <v>23</v>
      </c>
    </row>
    <row r="97" spans="2:9" x14ac:dyDescent="0.2">
      <c r="H97" t="s">
        <v>118</v>
      </c>
    </row>
    <row r="98" spans="2:9" x14ac:dyDescent="0.2">
      <c r="B98" t="s">
        <v>23</v>
      </c>
      <c r="H98" t="s">
        <v>119</v>
      </c>
    </row>
    <row r="99" spans="2:9" x14ac:dyDescent="0.2">
      <c r="B99" t="s">
        <v>175</v>
      </c>
      <c r="H99" t="s">
        <v>115</v>
      </c>
    </row>
    <row r="100" spans="2:9" x14ac:dyDescent="0.2">
      <c r="B100" t="s">
        <v>176</v>
      </c>
      <c r="H100" t="s">
        <v>116</v>
      </c>
    </row>
    <row r="101" spans="2:9" x14ac:dyDescent="0.2">
      <c r="B101" t="s">
        <v>171</v>
      </c>
      <c r="H101" t="s">
        <v>117</v>
      </c>
    </row>
    <row r="102" spans="2:9" x14ac:dyDescent="0.2">
      <c r="B102" t="s">
        <v>172</v>
      </c>
    </row>
    <row r="103" spans="2:9" x14ac:dyDescent="0.2">
      <c r="B103" t="s">
        <v>173</v>
      </c>
    </row>
    <row r="104" spans="2:9" x14ac:dyDescent="0.2">
      <c r="H104" s="16" t="s">
        <v>204</v>
      </c>
      <c r="I104" s="17">
        <v>2.46</v>
      </c>
    </row>
    <row r="105" spans="2:9" x14ac:dyDescent="0.2">
      <c r="H105" t="s">
        <v>19</v>
      </c>
    </row>
    <row r="106" spans="2:9" x14ac:dyDescent="0.2">
      <c r="B106" s="16" t="s">
        <v>184</v>
      </c>
      <c r="C106" s="17">
        <v>10.1</v>
      </c>
      <c r="H106" t="s">
        <v>205</v>
      </c>
    </row>
    <row r="107" spans="2:9" x14ac:dyDescent="0.2">
      <c r="B107" t="s">
        <v>19</v>
      </c>
      <c r="H107" t="s">
        <v>206</v>
      </c>
    </row>
    <row r="108" spans="2:9" x14ac:dyDescent="0.2">
      <c r="B108" s="18" t="s">
        <v>177</v>
      </c>
      <c r="H108" t="s">
        <v>207</v>
      </c>
    </row>
    <row r="109" spans="2:9" x14ac:dyDescent="0.2">
      <c r="B109" s="18" t="s">
        <v>178</v>
      </c>
    </row>
    <row r="110" spans="2:9" x14ac:dyDescent="0.2">
      <c r="B110" t="s">
        <v>179</v>
      </c>
      <c r="H110" t="s">
        <v>23</v>
      </c>
    </row>
    <row r="111" spans="2:9" x14ac:dyDescent="0.2">
      <c r="H111" t="s">
        <v>212</v>
      </c>
    </row>
    <row r="112" spans="2:9" x14ac:dyDescent="0.2">
      <c r="B112" t="s">
        <v>23</v>
      </c>
      <c r="H112" t="s">
        <v>208</v>
      </c>
    </row>
    <row r="113" spans="2:8" x14ac:dyDescent="0.2">
      <c r="B113" t="s">
        <v>185</v>
      </c>
      <c r="H113" t="s">
        <v>209</v>
      </c>
    </row>
    <row r="114" spans="2:8" x14ac:dyDescent="0.2">
      <c r="B114" t="s">
        <v>180</v>
      </c>
      <c r="H114" t="s">
        <v>210</v>
      </c>
    </row>
    <row r="115" spans="2:8" x14ac:dyDescent="0.2">
      <c r="B115" t="s">
        <v>181</v>
      </c>
      <c r="H115" t="s">
        <v>211</v>
      </c>
    </row>
    <row r="116" spans="2:8" x14ac:dyDescent="0.2">
      <c r="B116" t="s">
        <v>182</v>
      </c>
    </row>
    <row r="117" spans="2:8" x14ac:dyDescent="0.2">
      <c r="B117" t="s">
        <v>183</v>
      </c>
    </row>
    <row r="120" spans="2:8" x14ac:dyDescent="0.2">
      <c r="B120" s="16" t="s">
        <v>194</v>
      </c>
      <c r="C120" s="17">
        <v>29</v>
      </c>
    </row>
    <row r="121" spans="2:8" x14ac:dyDescent="0.2">
      <c r="B121" t="s">
        <v>19</v>
      </c>
    </row>
    <row r="122" spans="2:8" x14ac:dyDescent="0.2">
      <c r="B122" s="18" t="s">
        <v>186</v>
      </c>
    </row>
    <row r="123" spans="2:8" x14ac:dyDescent="0.2">
      <c r="B123" s="18" t="s">
        <v>187</v>
      </c>
    </row>
    <row r="124" spans="2:8" x14ac:dyDescent="0.2">
      <c r="B124" s="18" t="s">
        <v>188</v>
      </c>
    </row>
    <row r="126" spans="2:8" x14ac:dyDescent="0.2">
      <c r="B126" t="s">
        <v>23</v>
      </c>
    </row>
    <row r="127" spans="2:8" x14ac:dyDescent="0.2">
      <c r="B127" t="s">
        <v>189</v>
      </c>
    </row>
    <row r="128" spans="2:8" x14ac:dyDescent="0.2">
      <c r="B128" t="s">
        <v>190</v>
      </c>
    </row>
    <row r="129" spans="2:3" x14ac:dyDescent="0.2">
      <c r="B129" t="s">
        <v>191</v>
      </c>
    </row>
    <row r="130" spans="2:3" x14ac:dyDescent="0.2">
      <c r="B130" t="s">
        <v>192</v>
      </c>
    </row>
    <row r="131" spans="2:3" x14ac:dyDescent="0.2">
      <c r="B131" t="s">
        <v>193</v>
      </c>
    </row>
    <row r="134" spans="2:3" x14ac:dyDescent="0.2">
      <c r="B134" s="16" t="s">
        <v>203</v>
      </c>
      <c r="C134" s="17">
        <v>43.25</v>
      </c>
    </row>
    <row r="135" spans="2:3" x14ac:dyDescent="0.2">
      <c r="B135" t="s">
        <v>19</v>
      </c>
    </row>
    <row r="136" spans="2:3" x14ac:dyDescent="0.2">
      <c r="B136" s="18" t="s">
        <v>195</v>
      </c>
    </row>
    <row r="137" spans="2:3" x14ac:dyDescent="0.2">
      <c r="B137" s="18" t="s">
        <v>196</v>
      </c>
    </row>
    <row r="138" spans="2:3" x14ac:dyDescent="0.2">
      <c r="B138" s="18" t="s">
        <v>197</v>
      </c>
    </row>
    <row r="140" spans="2:3" x14ac:dyDescent="0.2">
      <c r="B140" t="s">
        <v>23</v>
      </c>
    </row>
    <row r="141" spans="2:3" x14ac:dyDescent="0.2">
      <c r="B141" t="s">
        <v>198</v>
      </c>
    </row>
    <row r="142" spans="2:3" x14ac:dyDescent="0.2">
      <c r="B142" t="s">
        <v>199</v>
      </c>
    </row>
    <row r="143" spans="2:3" x14ac:dyDescent="0.2">
      <c r="B143" t="s">
        <v>200</v>
      </c>
    </row>
    <row r="144" spans="2:3" x14ac:dyDescent="0.2">
      <c r="B144" t="s">
        <v>201</v>
      </c>
    </row>
    <row r="145" spans="2:3" x14ac:dyDescent="0.2">
      <c r="B145" t="s">
        <v>202</v>
      </c>
    </row>
    <row r="148" spans="2:3" x14ac:dyDescent="0.2">
      <c r="B148" s="16" t="s">
        <v>221</v>
      </c>
      <c r="C148" s="17">
        <v>17.100000000000001</v>
      </c>
    </row>
    <row r="149" spans="2:3" x14ac:dyDescent="0.2">
      <c r="B149" t="s">
        <v>19</v>
      </c>
    </row>
    <row r="150" spans="2:3" x14ac:dyDescent="0.2">
      <c r="B150" t="s">
        <v>213</v>
      </c>
    </row>
    <row r="151" spans="2:3" x14ac:dyDescent="0.2">
      <c r="B151" s="18" t="s">
        <v>214</v>
      </c>
    </row>
    <row r="152" spans="2:3" x14ac:dyDescent="0.2">
      <c r="B152" s="18" t="s">
        <v>215</v>
      </c>
    </row>
    <row r="154" spans="2:3" x14ac:dyDescent="0.2">
      <c r="B154" t="s">
        <v>23</v>
      </c>
    </row>
    <row r="155" spans="2:3" x14ac:dyDescent="0.2">
      <c r="B155" t="s">
        <v>216</v>
      </c>
    </row>
    <row r="156" spans="2:3" x14ac:dyDescent="0.2">
      <c r="B156" t="s">
        <v>217</v>
      </c>
    </row>
    <row r="157" spans="2:3" x14ac:dyDescent="0.2">
      <c r="B157" t="s">
        <v>218</v>
      </c>
    </row>
    <row r="158" spans="2:3" x14ac:dyDescent="0.2">
      <c r="B158" t="s">
        <v>219</v>
      </c>
    </row>
    <row r="159" spans="2:3" x14ac:dyDescent="0.2">
      <c r="B159" t="s">
        <v>220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B6DA-9DEC-4ABC-B8BC-8304A378B37C}">
  <dimension ref="B2:W87"/>
  <sheetViews>
    <sheetView topLeftCell="B58" workbookViewId="0">
      <selection activeCell="K28" sqref="K28"/>
    </sheetView>
  </sheetViews>
  <sheetFormatPr defaultRowHeight="14.25" x14ac:dyDescent="0.2"/>
  <cols>
    <col min="1" max="1" width="5" customWidth="1"/>
    <col min="13" max="13" width="4.875" style="36" customWidth="1"/>
    <col min="14" max="14" width="3.625" customWidth="1"/>
  </cols>
  <sheetData>
    <row r="2" spans="2:23" ht="23.25" x14ac:dyDescent="0.25">
      <c r="B2" s="28" t="s">
        <v>126</v>
      </c>
      <c r="O2" s="35" t="s">
        <v>281</v>
      </c>
    </row>
    <row r="3" spans="2:23" x14ac:dyDescent="0.2">
      <c r="B3" s="29" t="s">
        <v>127</v>
      </c>
    </row>
    <row r="5" spans="2:23" x14ac:dyDescent="0.2">
      <c r="B5" s="16" t="s">
        <v>146</v>
      </c>
      <c r="O5" s="33" t="s">
        <v>248</v>
      </c>
      <c r="P5" s="22"/>
      <c r="Q5" s="22"/>
      <c r="R5" s="22"/>
      <c r="S5" s="22"/>
      <c r="T5" s="22"/>
      <c r="U5" s="22"/>
      <c r="V5" s="22"/>
      <c r="W5" s="23"/>
    </row>
    <row r="6" spans="2:23" x14ac:dyDescent="0.2">
      <c r="B6" t="s">
        <v>122</v>
      </c>
      <c r="O6" s="24" t="s">
        <v>240</v>
      </c>
      <c r="W6" s="25"/>
    </row>
    <row r="7" spans="2:23" x14ac:dyDescent="0.2">
      <c r="B7" t="s">
        <v>123</v>
      </c>
      <c r="O7" s="24" t="s">
        <v>241</v>
      </c>
      <c r="W7" s="25"/>
    </row>
    <row r="8" spans="2:23" x14ac:dyDescent="0.2">
      <c r="B8" t="s">
        <v>124</v>
      </c>
      <c r="O8" s="24" t="s">
        <v>242</v>
      </c>
      <c r="W8" s="25"/>
    </row>
    <row r="9" spans="2:23" x14ac:dyDescent="0.2">
      <c r="B9" t="s">
        <v>125</v>
      </c>
      <c r="O9" s="24"/>
      <c r="W9" s="25"/>
    </row>
    <row r="10" spans="2:23" x14ac:dyDescent="0.2">
      <c r="O10" s="24" t="s">
        <v>23</v>
      </c>
      <c r="W10" s="25"/>
    </row>
    <row r="11" spans="2:23" x14ac:dyDescent="0.2">
      <c r="B11" s="16" t="s">
        <v>147</v>
      </c>
      <c r="O11" s="37" t="s">
        <v>243</v>
      </c>
      <c r="W11" s="25"/>
    </row>
    <row r="12" spans="2:23" x14ac:dyDescent="0.2">
      <c r="B12" t="s">
        <v>128</v>
      </c>
      <c r="O12" s="24" t="s">
        <v>244</v>
      </c>
      <c r="W12" s="25"/>
    </row>
    <row r="13" spans="2:23" x14ac:dyDescent="0.2">
      <c r="B13" t="s">
        <v>129</v>
      </c>
      <c r="O13" s="24" t="s">
        <v>245</v>
      </c>
      <c r="W13" s="25"/>
    </row>
    <row r="14" spans="2:23" x14ac:dyDescent="0.2">
      <c r="B14" t="s">
        <v>130</v>
      </c>
      <c r="O14" s="24" t="s">
        <v>246</v>
      </c>
      <c r="W14" s="25"/>
    </row>
    <row r="15" spans="2:23" x14ac:dyDescent="0.2">
      <c r="B15" t="s">
        <v>131</v>
      </c>
      <c r="O15" s="24" t="s">
        <v>247</v>
      </c>
      <c r="W15" s="25"/>
    </row>
    <row r="16" spans="2:23" x14ac:dyDescent="0.2">
      <c r="O16" s="24"/>
      <c r="W16" s="25"/>
    </row>
    <row r="17" spans="2:23" x14ac:dyDescent="0.2">
      <c r="B17" s="16" t="s">
        <v>145</v>
      </c>
      <c r="O17" s="37" t="s">
        <v>227</v>
      </c>
      <c r="W17" s="25"/>
    </row>
    <row r="18" spans="2:23" x14ac:dyDescent="0.2">
      <c r="B18" t="s">
        <v>141</v>
      </c>
      <c r="O18" s="24" t="s">
        <v>228</v>
      </c>
      <c r="W18" s="25"/>
    </row>
    <row r="19" spans="2:23" x14ac:dyDescent="0.2">
      <c r="B19" t="s">
        <v>142</v>
      </c>
      <c r="O19" s="24" t="s">
        <v>229</v>
      </c>
      <c r="W19" s="25"/>
    </row>
    <row r="20" spans="2:23" x14ac:dyDescent="0.2">
      <c r="B20" t="s">
        <v>143</v>
      </c>
      <c r="O20" s="24" t="s">
        <v>230</v>
      </c>
      <c r="W20" s="25"/>
    </row>
    <row r="21" spans="2:23" x14ac:dyDescent="0.2">
      <c r="B21" t="s">
        <v>144</v>
      </c>
      <c r="O21" s="24" t="s">
        <v>231</v>
      </c>
      <c r="W21" s="25"/>
    </row>
    <row r="22" spans="2:23" x14ac:dyDescent="0.2">
      <c r="O22" s="24"/>
      <c r="W22" s="25"/>
    </row>
    <row r="23" spans="2:23" ht="15" x14ac:dyDescent="0.2">
      <c r="B23" s="16" t="s">
        <v>226</v>
      </c>
      <c r="O23" s="39" t="s">
        <v>257</v>
      </c>
      <c r="W23" s="25"/>
    </row>
    <row r="24" spans="2:23" x14ac:dyDescent="0.2">
      <c r="B24" t="s">
        <v>222</v>
      </c>
      <c r="O24" s="24" t="s">
        <v>265</v>
      </c>
      <c r="W24" s="25"/>
    </row>
    <row r="25" spans="2:23" x14ac:dyDescent="0.2">
      <c r="B25" t="s">
        <v>223</v>
      </c>
      <c r="O25" s="24" t="s">
        <v>266</v>
      </c>
      <c r="W25" s="25"/>
    </row>
    <row r="26" spans="2:23" x14ac:dyDescent="0.2">
      <c r="B26" t="s">
        <v>224</v>
      </c>
      <c r="O26" s="24" t="s">
        <v>267</v>
      </c>
      <c r="W26" s="25"/>
    </row>
    <row r="27" spans="2:23" x14ac:dyDescent="0.2">
      <c r="B27" t="s">
        <v>225</v>
      </c>
      <c r="O27" s="24"/>
      <c r="W27" s="25"/>
    </row>
    <row r="28" spans="2:23" x14ac:dyDescent="0.2">
      <c r="O28" s="37" t="s">
        <v>268</v>
      </c>
      <c r="W28" s="25"/>
    </row>
    <row r="29" spans="2:23" x14ac:dyDescent="0.2">
      <c r="B29" s="16" t="s">
        <v>282</v>
      </c>
      <c r="O29" s="24" t="s">
        <v>269</v>
      </c>
      <c r="W29" s="25"/>
    </row>
    <row r="30" spans="2:23" x14ac:dyDescent="0.2">
      <c r="B30" t="s">
        <v>222</v>
      </c>
      <c r="O30" s="24" t="s">
        <v>270</v>
      </c>
      <c r="W30" s="25"/>
    </row>
    <row r="31" spans="2:23" x14ac:dyDescent="0.2">
      <c r="B31" t="s">
        <v>223</v>
      </c>
      <c r="O31" s="24" t="s">
        <v>271</v>
      </c>
      <c r="W31" s="25"/>
    </row>
    <row r="32" spans="2:23" x14ac:dyDescent="0.2">
      <c r="B32" t="s">
        <v>224</v>
      </c>
      <c r="O32" s="26" t="s">
        <v>272</v>
      </c>
      <c r="P32" s="15"/>
      <c r="Q32" s="15"/>
      <c r="R32" s="15"/>
      <c r="S32" s="15"/>
      <c r="T32" s="15"/>
      <c r="U32" s="15"/>
      <c r="V32" s="15"/>
      <c r="W32" s="27"/>
    </row>
    <row r="33" spans="2:23" x14ac:dyDescent="0.2">
      <c r="B33" t="s">
        <v>225</v>
      </c>
    </row>
    <row r="35" spans="2:23" x14ac:dyDescent="0.2">
      <c r="B35" s="16" t="s">
        <v>283</v>
      </c>
    </row>
    <row r="36" spans="2:23" x14ac:dyDescent="0.2">
      <c r="B36" t="s">
        <v>222</v>
      </c>
      <c r="O36" s="33" t="s">
        <v>232</v>
      </c>
      <c r="P36" s="22"/>
      <c r="Q36" s="22"/>
      <c r="R36" s="22"/>
      <c r="S36" s="22"/>
      <c r="T36" s="22"/>
      <c r="U36" s="22"/>
      <c r="V36" s="22"/>
      <c r="W36" s="23"/>
    </row>
    <row r="37" spans="2:23" x14ac:dyDescent="0.2">
      <c r="B37" t="s">
        <v>223</v>
      </c>
      <c r="O37" s="24" t="s">
        <v>233</v>
      </c>
      <c r="W37" s="25"/>
    </row>
    <row r="38" spans="2:23" x14ac:dyDescent="0.2">
      <c r="B38" t="s">
        <v>224</v>
      </c>
      <c r="O38" s="24" t="s">
        <v>234</v>
      </c>
      <c r="W38" s="25"/>
    </row>
    <row r="39" spans="2:23" x14ac:dyDescent="0.2">
      <c r="B39" t="s">
        <v>225</v>
      </c>
      <c r="O39" s="24" t="s">
        <v>235</v>
      </c>
      <c r="W39" s="25"/>
    </row>
    <row r="40" spans="2:23" x14ac:dyDescent="0.2">
      <c r="O40" s="24" t="s">
        <v>236</v>
      </c>
      <c r="W40" s="25"/>
    </row>
    <row r="41" spans="2:23" x14ac:dyDescent="0.2">
      <c r="O41" s="24"/>
      <c r="W41" s="25"/>
    </row>
    <row r="42" spans="2:23" ht="15" x14ac:dyDescent="0.2">
      <c r="O42" s="39" t="s">
        <v>257</v>
      </c>
      <c r="W42" s="25"/>
    </row>
    <row r="43" spans="2:23" x14ac:dyDescent="0.2">
      <c r="O43" s="24" t="s">
        <v>258</v>
      </c>
      <c r="W43" s="25"/>
    </row>
    <row r="44" spans="2:23" x14ac:dyDescent="0.2">
      <c r="O44" s="24" t="s">
        <v>259</v>
      </c>
      <c r="W44" s="25"/>
    </row>
    <row r="45" spans="2:23" x14ac:dyDescent="0.2">
      <c r="O45" s="24" t="s">
        <v>260</v>
      </c>
      <c r="W45" s="25"/>
    </row>
    <row r="46" spans="2:23" x14ac:dyDescent="0.2">
      <c r="O46" s="24"/>
      <c r="W46" s="25"/>
    </row>
    <row r="47" spans="2:23" x14ac:dyDescent="0.2">
      <c r="O47" s="37" t="s">
        <v>261</v>
      </c>
      <c r="W47" s="25"/>
    </row>
    <row r="48" spans="2:23" x14ac:dyDescent="0.2">
      <c r="O48" s="24" t="s">
        <v>233</v>
      </c>
      <c r="W48" s="25"/>
    </row>
    <row r="49" spans="15:23" x14ac:dyDescent="0.2">
      <c r="O49" s="24" t="s">
        <v>262</v>
      </c>
      <c r="W49" s="25"/>
    </row>
    <row r="50" spans="15:23" x14ac:dyDescent="0.2">
      <c r="O50" s="24" t="s">
        <v>263</v>
      </c>
      <c r="W50" s="25"/>
    </row>
    <row r="51" spans="15:23" x14ac:dyDescent="0.2">
      <c r="O51" s="26" t="s">
        <v>264</v>
      </c>
      <c r="P51" s="15"/>
      <c r="Q51" s="15"/>
      <c r="R51" s="15"/>
      <c r="S51" s="15"/>
      <c r="T51" s="15"/>
      <c r="U51" s="15"/>
      <c r="V51" s="15"/>
      <c r="W51" s="27"/>
    </row>
    <row r="54" spans="15:23" x14ac:dyDescent="0.2">
      <c r="O54" s="33" t="s">
        <v>237</v>
      </c>
      <c r="P54" s="22"/>
      <c r="Q54" s="22"/>
      <c r="R54" s="22"/>
      <c r="S54" s="22"/>
      <c r="T54" s="22"/>
      <c r="U54" s="22"/>
      <c r="V54" s="22"/>
      <c r="W54" s="23"/>
    </row>
    <row r="55" spans="15:23" x14ac:dyDescent="0.2">
      <c r="O55" s="24" t="s">
        <v>141</v>
      </c>
      <c r="W55" s="25"/>
    </row>
    <row r="56" spans="15:23" x14ac:dyDescent="0.2">
      <c r="O56" s="24" t="s">
        <v>238</v>
      </c>
      <c r="W56" s="25"/>
    </row>
    <row r="57" spans="15:23" x14ac:dyDescent="0.2">
      <c r="O57" s="24" t="s">
        <v>143</v>
      </c>
      <c r="W57" s="25"/>
    </row>
    <row r="58" spans="15:23" x14ac:dyDescent="0.2">
      <c r="O58" s="24" t="s">
        <v>239</v>
      </c>
      <c r="W58" s="25"/>
    </row>
    <row r="59" spans="15:23" x14ac:dyDescent="0.2">
      <c r="O59" s="24"/>
      <c r="W59" s="25"/>
    </row>
    <row r="60" spans="15:23" ht="15" x14ac:dyDescent="0.2">
      <c r="O60" s="39" t="s">
        <v>257</v>
      </c>
      <c r="W60" s="25"/>
    </row>
    <row r="61" spans="15:23" x14ac:dyDescent="0.2">
      <c r="O61" s="24" t="s">
        <v>249</v>
      </c>
      <c r="W61" s="25"/>
    </row>
    <row r="62" spans="15:23" x14ac:dyDescent="0.2">
      <c r="O62" s="24" t="s">
        <v>250</v>
      </c>
      <c r="W62" s="25"/>
    </row>
    <row r="63" spans="15:23" x14ac:dyDescent="0.2">
      <c r="O63" s="24" t="s">
        <v>251</v>
      </c>
      <c r="W63" s="25"/>
    </row>
    <row r="64" spans="15:23" x14ac:dyDescent="0.2">
      <c r="O64" s="24"/>
      <c r="W64" s="25"/>
    </row>
    <row r="65" spans="15:23" x14ac:dyDescent="0.2">
      <c r="O65" s="37" t="s">
        <v>252</v>
      </c>
      <c r="W65" s="25"/>
    </row>
    <row r="66" spans="15:23" x14ac:dyDescent="0.2">
      <c r="O66" s="24" t="s">
        <v>253</v>
      </c>
      <c r="W66" s="25"/>
    </row>
    <row r="67" spans="15:23" x14ac:dyDescent="0.2">
      <c r="O67" s="24" t="s">
        <v>254</v>
      </c>
      <c r="W67" s="25"/>
    </row>
    <row r="68" spans="15:23" x14ac:dyDescent="0.2">
      <c r="O68" s="24" t="s">
        <v>255</v>
      </c>
      <c r="W68" s="25"/>
    </row>
    <row r="69" spans="15:23" x14ac:dyDescent="0.2">
      <c r="O69" s="26" t="s">
        <v>256</v>
      </c>
      <c r="P69" s="15"/>
      <c r="Q69" s="15"/>
      <c r="R69" s="15"/>
      <c r="S69" s="15"/>
      <c r="T69" s="15"/>
      <c r="U69" s="15"/>
      <c r="V69" s="15"/>
      <c r="W69" s="27"/>
    </row>
    <row r="71" spans="15:23" x14ac:dyDescent="0.2">
      <c r="O71" s="16" t="s">
        <v>305</v>
      </c>
    </row>
    <row r="72" spans="15:23" x14ac:dyDescent="0.2">
      <c r="O72" t="s">
        <v>141</v>
      </c>
    </row>
    <row r="73" spans="15:23" x14ac:dyDescent="0.2">
      <c r="O73" t="s">
        <v>306</v>
      </c>
    </row>
    <row r="74" spans="15:23" x14ac:dyDescent="0.2">
      <c r="O74" t="s">
        <v>307</v>
      </c>
    </row>
    <row r="75" spans="15:23" x14ac:dyDescent="0.2">
      <c r="O75" t="s">
        <v>308</v>
      </c>
    </row>
    <row r="79" spans="15:23" x14ac:dyDescent="0.2">
      <c r="O79" s="38" t="s">
        <v>273</v>
      </c>
      <c r="P79" s="22"/>
      <c r="Q79" s="22"/>
      <c r="R79" s="22"/>
      <c r="S79" s="22"/>
      <c r="T79" s="22"/>
      <c r="U79" s="22"/>
      <c r="V79" s="22"/>
      <c r="W79" s="23"/>
    </row>
    <row r="80" spans="15:23" x14ac:dyDescent="0.2">
      <c r="O80" s="24" t="s">
        <v>274</v>
      </c>
      <c r="W80" s="25"/>
    </row>
    <row r="81" spans="15:23" x14ac:dyDescent="0.2">
      <c r="O81" s="24" t="s">
        <v>275</v>
      </c>
      <c r="W81" s="25"/>
    </row>
    <row r="82" spans="15:23" x14ac:dyDescent="0.2">
      <c r="O82" s="24"/>
      <c r="W82" s="25"/>
    </row>
    <row r="83" spans="15:23" x14ac:dyDescent="0.2">
      <c r="O83" s="37" t="s">
        <v>276</v>
      </c>
      <c r="W83" s="25"/>
    </row>
    <row r="84" spans="15:23" x14ac:dyDescent="0.2">
      <c r="O84" s="24" t="s">
        <v>277</v>
      </c>
      <c r="W84" s="25"/>
    </row>
    <row r="85" spans="15:23" x14ac:dyDescent="0.2">
      <c r="O85" s="24" t="s">
        <v>278</v>
      </c>
      <c r="W85" s="25"/>
    </row>
    <row r="86" spans="15:23" x14ac:dyDescent="0.2">
      <c r="O86" s="24" t="s">
        <v>279</v>
      </c>
      <c r="W86" s="25"/>
    </row>
    <row r="87" spans="15:23" x14ac:dyDescent="0.2">
      <c r="O87" s="26" t="s">
        <v>280</v>
      </c>
      <c r="P87" s="15"/>
      <c r="Q87" s="15"/>
      <c r="R87" s="15"/>
      <c r="S87" s="15"/>
      <c r="T87" s="15"/>
      <c r="U87" s="15"/>
      <c r="V87" s="15"/>
      <c r="W87" s="2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388A-936F-4925-9C20-7B3807714FF4}">
  <dimension ref="B2:AF85"/>
  <sheetViews>
    <sheetView tabSelected="1" topLeftCell="A20" zoomScale="80" zoomScaleNormal="80" workbookViewId="0">
      <selection activeCell="G91" sqref="G91"/>
    </sheetView>
  </sheetViews>
  <sheetFormatPr defaultRowHeight="14.25" x14ac:dyDescent="0.2"/>
  <cols>
    <col min="1" max="1" width="4" customWidth="1"/>
    <col min="9" max="9" width="0.875" customWidth="1"/>
    <col min="10" max="10" width="9" hidden="1" customWidth="1"/>
    <col min="11" max="11" width="4.875" hidden="1" customWidth="1"/>
    <col min="19" max="19" width="1" customWidth="1"/>
    <col min="20" max="20" width="9" hidden="1" customWidth="1"/>
    <col min="21" max="21" width="4.375" hidden="1" customWidth="1"/>
    <col min="31" max="31" width="3.375" customWidth="1"/>
    <col min="32" max="32" width="11.5" customWidth="1"/>
  </cols>
  <sheetData>
    <row r="2" spans="2:32" ht="19.5" x14ac:dyDescent="0.25">
      <c r="B2" s="42" t="s">
        <v>294</v>
      </c>
      <c r="C2" s="43"/>
      <c r="AF2" s="41" t="s">
        <v>419</v>
      </c>
    </row>
    <row r="4" spans="2:32" x14ac:dyDescent="0.2">
      <c r="B4" s="16" t="s">
        <v>284</v>
      </c>
      <c r="L4" s="16" t="s">
        <v>344</v>
      </c>
      <c r="V4" s="16" t="s">
        <v>393</v>
      </c>
    </row>
    <row r="5" spans="2:32" ht="18" x14ac:dyDescent="0.25">
      <c r="B5" s="44" t="s">
        <v>285</v>
      </c>
      <c r="C5" s="45"/>
      <c r="D5" s="45"/>
      <c r="E5" s="45"/>
      <c r="F5" s="45"/>
      <c r="G5" s="45"/>
      <c r="H5" s="45"/>
      <c r="I5" s="45"/>
      <c r="J5" s="45"/>
      <c r="K5" s="45"/>
      <c r="L5" s="46" t="s">
        <v>285</v>
      </c>
      <c r="M5" s="45"/>
      <c r="N5" s="45"/>
      <c r="O5" s="45"/>
      <c r="P5" s="45"/>
      <c r="Q5" s="45"/>
      <c r="R5" s="45"/>
      <c r="S5" s="45"/>
      <c r="T5" s="45"/>
      <c r="U5" s="45"/>
      <c r="V5" s="46" t="s">
        <v>285</v>
      </c>
      <c r="W5" s="45"/>
      <c r="X5" s="45"/>
      <c r="Y5" s="45"/>
      <c r="Z5" s="45"/>
      <c r="AA5" s="45"/>
      <c r="AB5" s="45"/>
      <c r="AC5" s="45"/>
      <c r="AD5" s="45"/>
      <c r="AE5" s="45"/>
      <c r="AF5" s="51">
        <v>2.42</v>
      </c>
    </row>
    <row r="6" spans="2:32" x14ac:dyDescent="0.2">
      <c r="B6" s="40" t="s">
        <v>286</v>
      </c>
      <c r="C6" s="40"/>
      <c r="D6" s="40"/>
      <c r="E6" s="40"/>
      <c r="F6" s="40"/>
      <c r="G6" s="40"/>
      <c r="L6" t="s">
        <v>286</v>
      </c>
      <c r="V6" t="s">
        <v>394</v>
      </c>
    </row>
    <row r="7" spans="2:32" x14ac:dyDescent="0.2">
      <c r="B7" s="40" t="s">
        <v>287</v>
      </c>
      <c r="C7" s="40"/>
      <c r="D7" s="40"/>
      <c r="E7" s="40"/>
      <c r="F7" s="40"/>
      <c r="G7" s="40"/>
      <c r="L7" t="s">
        <v>287</v>
      </c>
      <c r="V7" t="s">
        <v>395</v>
      </c>
    </row>
    <row r="8" spans="2:32" x14ac:dyDescent="0.2">
      <c r="B8" s="40" t="s">
        <v>288</v>
      </c>
      <c r="C8" s="40"/>
      <c r="D8" s="40"/>
      <c r="E8" s="40"/>
      <c r="F8" s="40"/>
      <c r="G8" s="40"/>
      <c r="L8" t="s">
        <v>288</v>
      </c>
      <c r="V8" t="s">
        <v>396</v>
      </c>
    </row>
    <row r="11" spans="2:32" x14ac:dyDescent="0.2">
      <c r="B11" s="16" t="s">
        <v>289</v>
      </c>
      <c r="L11" s="16" t="s">
        <v>345</v>
      </c>
      <c r="V11" s="16" t="s">
        <v>397</v>
      </c>
    </row>
    <row r="12" spans="2:32" ht="18" x14ac:dyDescent="0.25">
      <c r="B12" s="44" t="s">
        <v>290</v>
      </c>
      <c r="C12" s="45"/>
      <c r="D12" s="45"/>
      <c r="E12" s="45"/>
      <c r="F12" s="45"/>
      <c r="G12" s="45"/>
      <c r="H12" s="45"/>
      <c r="I12" s="45"/>
      <c r="J12" s="45"/>
      <c r="K12" s="45"/>
      <c r="L12" s="46" t="s">
        <v>290</v>
      </c>
      <c r="M12" s="45"/>
      <c r="N12" s="45"/>
      <c r="O12" s="45"/>
      <c r="P12" s="45"/>
      <c r="Q12" s="45"/>
      <c r="R12" s="45"/>
      <c r="S12" s="45"/>
      <c r="T12" s="45"/>
      <c r="U12" s="45"/>
      <c r="V12" s="46" t="s">
        <v>290</v>
      </c>
      <c r="W12" s="45"/>
      <c r="X12" s="45"/>
      <c r="Y12" s="45"/>
      <c r="Z12" s="45"/>
      <c r="AA12" s="45"/>
      <c r="AB12" s="45"/>
      <c r="AC12" s="45"/>
      <c r="AD12" s="45"/>
      <c r="AE12" s="45"/>
      <c r="AF12" s="47">
        <v>13.4</v>
      </c>
    </row>
    <row r="13" spans="2:32" x14ac:dyDescent="0.2">
      <c r="B13" s="40" t="s">
        <v>291</v>
      </c>
      <c r="C13" s="40"/>
      <c r="D13" s="40"/>
      <c r="E13" s="40"/>
      <c r="F13" s="40"/>
      <c r="G13" s="40"/>
      <c r="L13" t="s">
        <v>291</v>
      </c>
      <c r="V13" t="s">
        <v>291</v>
      </c>
    </row>
    <row r="14" spans="2:32" x14ac:dyDescent="0.2">
      <c r="B14" s="40" t="s">
        <v>292</v>
      </c>
      <c r="C14" s="40"/>
      <c r="D14" s="40"/>
      <c r="E14" s="40"/>
      <c r="F14" s="40"/>
      <c r="G14" s="40"/>
      <c r="L14" t="s">
        <v>292</v>
      </c>
      <c r="V14" t="s">
        <v>292</v>
      </c>
    </row>
    <row r="15" spans="2:32" x14ac:dyDescent="0.2">
      <c r="B15" s="40" t="s">
        <v>293</v>
      </c>
      <c r="C15" s="40"/>
      <c r="D15" s="40"/>
      <c r="E15" s="40"/>
      <c r="F15" s="40"/>
      <c r="G15" s="40"/>
      <c r="L15" t="s">
        <v>293</v>
      </c>
      <c r="V15" t="s">
        <v>293</v>
      </c>
    </row>
    <row r="18" spans="2:32" x14ac:dyDescent="0.2">
      <c r="B18" s="16" t="s">
        <v>295</v>
      </c>
      <c r="L18" s="16" t="s">
        <v>346</v>
      </c>
      <c r="V18" s="16" t="s">
        <v>403</v>
      </c>
    </row>
    <row r="19" spans="2:32" ht="18" x14ac:dyDescent="0.25">
      <c r="B19" s="50" t="s">
        <v>296</v>
      </c>
      <c r="C19" s="45"/>
      <c r="D19" s="45"/>
      <c r="E19" s="45"/>
      <c r="F19" s="45"/>
      <c r="G19" s="45"/>
      <c r="H19" s="45"/>
      <c r="I19" s="45"/>
      <c r="J19" s="45"/>
      <c r="K19" s="45"/>
      <c r="L19" s="46" t="s">
        <v>347</v>
      </c>
      <c r="M19" s="45"/>
      <c r="N19" s="45"/>
      <c r="O19" s="45"/>
      <c r="P19" s="45"/>
      <c r="Q19" s="45"/>
      <c r="R19" s="45"/>
      <c r="S19" s="45"/>
      <c r="T19" s="45"/>
      <c r="U19" s="45"/>
      <c r="V19" s="46" t="s">
        <v>347</v>
      </c>
      <c r="W19" s="45"/>
      <c r="X19" s="45"/>
      <c r="Y19" s="45"/>
      <c r="Z19" s="45"/>
      <c r="AA19" s="45"/>
      <c r="AB19" s="45"/>
      <c r="AC19" s="45"/>
      <c r="AD19" s="45"/>
      <c r="AE19" s="45"/>
      <c r="AF19" s="51">
        <v>10.3</v>
      </c>
    </row>
    <row r="20" spans="2:32" x14ac:dyDescent="0.2">
      <c r="B20" s="40" t="s">
        <v>297</v>
      </c>
      <c r="C20" s="40"/>
      <c r="D20" s="40"/>
      <c r="E20" s="40"/>
      <c r="F20" s="40"/>
      <c r="G20" s="40"/>
      <c r="L20" t="s">
        <v>348</v>
      </c>
      <c r="V20" t="s">
        <v>348</v>
      </c>
    </row>
    <row r="21" spans="2:32" x14ac:dyDescent="0.2">
      <c r="B21" s="40" t="s">
        <v>298</v>
      </c>
      <c r="C21" s="40"/>
      <c r="D21" s="40"/>
      <c r="E21" s="40"/>
      <c r="F21" s="40"/>
      <c r="G21" s="40"/>
      <c r="L21" t="s">
        <v>349</v>
      </c>
      <c r="V21" t="s">
        <v>349</v>
      </c>
    </row>
    <row r="22" spans="2:32" x14ac:dyDescent="0.2">
      <c r="B22" s="40" t="s">
        <v>299</v>
      </c>
      <c r="C22" s="40"/>
      <c r="D22" s="40"/>
      <c r="E22" s="40"/>
      <c r="F22" s="40"/>
      <c r="G22" s="40"/>
      <c r="L22" t="s">
        <v>350</v>
      </c>
      <c r="V22" t="s">
        <v>350</v>
      </c>
    </row>
    <row r="25" spans="2:32" x14ac:dyDescent="0.2">
      <c r="B25" s="16" t="s">
        <v>300</v>
      </c>
      <c r="L25" s="16" t="s">
        <v>351</v>
      </c>
      <c r="V25" s="16" t="s">
        <v>404</v>
      </c>
    </row>
    <row r="26" spans="2:32" ht="18" x14ac:dyDescent="0.25">
      <c r="B26" s="44" t="s">
        <v>301</v>
      </c>
      <c r="C26" s="45"/>
      <c r="D26" s="45"/>
      <c r="E26" s="45"/>
      <c r="F26" s="45"/>
      <c r="G26" s="45"/>
      <c r="H26" s="45"/>
      <c r="I26" s="45"/>
      <c r="J26" s="45"/>
      <c r="K26" s="45"/>
      <c r="L26" s="49" t="s">
        <v>352</v>
      </c>
      <c r="M26" s="45"/>
      <c r="N26" s="45"/>
      <c r="O26" s="45"/>
      <c r="P26" s="45"/>
      <c r="Q26" s="45"/>
      <c r="R26" s="45"/>
      <c r="S26" s="45"/>
      <c r="T26" s="45"/>
      <c r="U26" s="45"/>
      <c r="V26" s="49" t="s">
        <v>352</v>
      </c>
      <c r="W26" s="45"/>
      <c r="X26" s="45"/>
      <c r="Y26" s="45"/>
      <c r="Z26" s="45"/>
      <c r="AA26" s="45"/>
      <c r="AB26" s="45"/>
      <c r="AC26" s="45"/>
      <c r="AD26" s="45"/>
      <c r="AE26" s="45"/>
      <c r="AF26" s="47">
        <v>5.05</v>
      </c>
    </row>
    <row r="27" spans="2:32" x14ac:dyDescent="0.2">
      <c r="B27" s="40" t="s">
        <v>302</v>
      </c>
      <c r="C27" s="40"/>
      <c r="D27" s="40"/>
      <c r="E27" s="40"/>
      <c r="F27" s="40"/>
      <c r="G27" s="40"/>
      <c r="L27" t="s">
        <v>353</v>
      </c>
      <c r="V27" t="s">
        <v>353</v>
      </c>
    </row>
    <row r="28" spans="2:32" x14ac:dyDescent="0.2">
      <c r="B28" s="40" t="s">
        <v>303</v>
      </c>
      <c r="C28" s="40"/>
      <c r="D28" s="40"/>
      <c r="E28" s="40"/>
      <c r="F28" s="40"/>
      <c r="G28" s="40"/>
      <c r="L28" t="s">
        <v>354</v>
      </c>
      <c r="V28" t="s">
        <v>354</v>
      </c>
    </row>
    <row r="29" spans="2:32" x14ac:dyDescent="0.2">
      <c r="B29" s="40" t="s">
        <v>304</v>
      </c>
      <c r="C29" s="40"/>
      <c r="D29" s="40"/>
      <c r="E29" s="40"/>
      <c r="F29" s="40"/>
      <c r="G29" s="40"/>
      <c r="L29" t="s">
        <v>355</v>
      </c>
      <c r="V29" t="s">
        <v>355</v>
      </c>
    </row>
    <row r="32" spans="2:32" x14ac:dyDescent="0.2">
      <c r="B32" s="16" t="s">
        <v>309</v>
      </c>
      <c r="L32" s="16" t="s">
        <v>356</v>
      </c>
      <c r="V32" s="16" t="s">
        <v>405</v>
      </c>
    </row>
    <row r="33" spans="2:32" ht="18" x14ac:dyDescent="0.25">
      <c r="B33" s="50" t="s">
        <v>310</v>
      </c>
      <c r="C33" s="45"/>
      <c r="D33" s="45"/>
      <c r="E33" s="45"/>
      <c r="F33" s="45"/>
      <c r="G33" s="45"/>
      <c r="H33" s="45"/>
      <c r="I33" s="45"/>
      <c r="J33" s="45"/>
      <c r="K33" s="45"/>
      <c r="L33" s="46" t="s">
        <v>357</v>
      </c>
      <c r="M33" s="45"/>
      <c r="N33" s="45"/>
      <c r="O33" s="45"/>
      <c r="P33" s="45"/>
      <c r="Q33" s="45"/>
      <c r="R33" s="45"/>
      <c r="S33" s="45"/>
      <c r="T33" s="45"/>
      <c r="U33" s="45"/>
      <c r="V33" s="49" t="s">
        <v>310</v>
      </c>
      <c r="W33" s="45"/>
      <c r="X33" s="45"/>
      <c r="Y33" s="45"/>
      <c r="Z33" s="45"/>
      <c r="AA33" s="45"/>
      <c r="AB33" s="45"/>
      <c r="AC33" s="45"/>
      <c r="AD33" s="45"/>
      <c r="AE33" s="45"/>
      <c r="AF33" s="51">
        <v>7.07</v>
      </c>
    </row>
    <row r="34" spans="2:32" x14ac:dyDescent="0.2">
      <c r="B34" s="40" t="s">
        <v>311</v>
      </c>
      <c r="C34" s="40"/>
      <c r="D34" s="40"/>
      <c r="E34" s="40"/>
      <c r="F34" s="40"/>
      <c r="G34" s="40"/>
      <c r="L34" t="s">
        <v>358</v>
      </c>
      <c r="V34" t="s">
        <v>311</v>
      </c>
    </row>
    <row r="35" spans="2:32" x14ac:dyDescent="0.2">
      <c r="B35" s="40" t="s">
        <v>312</v>
      </c>
      <c r="C35" s="40"/>
      <c r="D35" s="40"/>
      <c r="E35" s="40"/>
      <c r="F35" s="40"/>
      <c r="G35" s="40"/>
      <c r="L35" t="s">
        <v>359</v>
      </c>
      <c r="V35" t="s">
        <v>312</v>
      </c>
    </row>
    <row r="36" spans="2:32" x14ac:dyDescent="0.2">
      <c r="B36" s="40" t="s">
        <v>313</v>
      </c>
      <c r="C36" s="40"/>
      <c r="D36" s="40"/>
      <c r="E36" s="40"/>
      <c r="F36" s="40"/>
      <c r="G36" s="40"/>
      <c r="L36" t="s">
        <v>360</v>
      </c>
      <c r="V36" t="s">
        <v>313</v>
      </c>
    </row>
    <row r="39" spans="2:32" x14ac:dyDescent="0.2">
      <c r="B39" s="16" t="s">
        <v>319</v>
      </c>
      <c r="L39" s="16" t="s">
        <v>361</v>
      </c>
      <c r="V39" s="16" t="s">
        <v>406</v>
      </c>
    </row>
    <row r="40" spans="2:32" ht="18" x14ac:dyDescent="0.25">
      <c r="B40" s="44" t="s">
        <v>320</v>
      </c>
      <c r="C40" s="45"/>
      <c r="D40" s="45"/>
      <c r="E40" s="45"/>
      <c r="F40" s="45"/>
      <c r="G40" s="45"/>
      <c r="H40" s="45"/>
      <c r="I40" s="45"/>
      <c r="J40" s="45"/>
      <c r="K40" s="45"/>
      <c r="L40" s="49" t="s">
        <v>362</v>
      </c>
      <c r="M40" s="45"/>
      <c r="N40" s="45"/>
      <c r="O40" s="45"/>
      <c r="P40" s="45"/>
      <c r="Q40" s="45"/>
      <c r="R40" s="45"/>
      <c r="S40" s="45"/>
      <c r="T40" s="45"/>
      <c r="U40" s="45"/>
      <c r="V40" s="49" t="s">
        <v>362</v>
      </c>
      <c r="W40" s="45"/>
      <c r="X40" s="45"/>
      <c r="Y40" s="45"/>
      <c r="Z40" s="45"/>
      <c r="AA40" s="45"/>
      <c r="AB40" s="45"/>
      <c r="AC40" s="45"/>
      <c r="AD40" s="45"/>
      <c r="AE40" s="45"/>
      <c r="AF40" s="51">
        <v>4.28</v>
      </c>
    </row>
    <row r="41" spans="2:32" x14ac:dyDescent="0.2">
      <c r="B41" s="40" t="s">
        <v>321</v>
      </c>
      <c r="C41" s="40"/>
      <c r="D41" s="40"/>
      <c r="E41" s="40"/>
      <c r="F41" s="40"/>
      <c r="G41" s="40"/>
      <c r="L41" t="s">
        <v>363</v>
      </c>
      <c r="V41" t="s">
        <v>363</v>
      </c>
    </row>
    <row r="42" spans="2:32" x14ac:dyDescent="0.2">
      <c r="B42" s="40" t="s">
        <v>322</v>
      </c>
      <c r="C42" s="40"/>
      <c r="D42" s="40"/>
      <c r="E42" s="40"/>
      <c r="F42" s="40"/>
      <c r="G42" s="40"/>
      <c r="L42" t="s">
        <v>364</v>
      </c>
      <c r="V42" t="s">
        <v>364</v>
      </c>
    </row>
    <row r="43" spans="2:32" x14ac:dyDescent="0.2">
      <c r="B43" s="40" t="s">
        <v>323</v>
      </c>
      <c r="C43" s="40"/>
      <c r="D43" s="40"/>
      <c r="E43" s="40"/>
      <c r="F43" s="40"/>
      <c r="G43" s="40"/>
      <c r="L43" t="s">
        <v>365</v>
      </c>
      <c r="V43" t="s">
        <v>365</v>
      </c>
    </row>
    <row r="46" spans="2:32" x14ac:dyDescent="0.2">
      <c r="B46" s="16" t="s">
        <v>314</v>
      </c>
      <c r="L46" s="16" t="s">
        <v>366</v>
      </c>
      <c r="V46" s="16" t="s">
        <v>407</v>
      </c>
    </row>
    <row r="47" spans="2:32" ht="18" x14ac:dyDescent="0.25">
      <c r="B47" s="44" t="s">
        <v>315</v>
      </c>
      <c r="C47" s="45"/>
      <c r="D47" s="45"/>
      <c r="E47" s="45"/>
      <c r="F47" s="45"/>
      <c r="G47" s="45"/>
      <c r="H47" s="45"/>
      <c r="I47" s="45"/>
      <c r="J47" s="45"/>
      <c r="K47" s="45"/>
      <c r="L47" s="49" t="s">
        <v>340</v>
      </c>
      <c r="M47" s="45"/>
      <c r="N47" s="45"/>
      <c r="O47" s="45"/>
      <c r="P47" s="45"/>
      <c r="Q47" s="45"/>
      <c r="R47" s="45"/>
      <c r="S47" s="45"/>
      <c r="T47" s="45"/>
      <c r="U47" s="45"/>
      <c r="V47" s="49" t="s">
        <v>340</v>
      </c>
      <c r="W47" s="45"/>
      <c r="X47" s="45"/>
      <c r="Y47" s="45"/>
      <c r="Z47" s="45"/>
      <c r="AA47" s="45"/>
      <c r="AB47" s="45"/>
      <c r="AC47" s="45"/>
      <c r="AD47" s="45"/>
      <c r="AE47" s="45"/>
      <c r="AF47" s="51">
        <v>23.6</v>
      </c>
    </row>
    <row r="48" spans="2:32" x14ac:dyDescent="0.2">
      <c r="B48" s="36" t="s">
        <v>316</v>
      </c>
      <c r="C48" s="36"/>
      <c r="D48" s="36"/>
      <c r="E48" s="36"/>
      <c r="F48" s="36"/>
      <c r="G48" s="36"/>
      <c r="L48" t="s">
        <v>367</v>
      </c>
      <c r="V48" t="s">
        <v>367</v>
      </c>
    </row>
    <row r="49" spans="2:32" x14ac:dyDescent="0.2">
      <c r="B49" s="36" t="s">
        <v>317</v>
      </c>
      <c r="C49" s="36"/>
      <c r="D49" s="36"/>
      <c r="E49" s="36"/>
      <c r="F49" s="36"/>
      <c r="G49" s="36"/>
      <c r="L49" t="s">
        <v>368</v>
      </c>
      <c r="V49" t="s">
        <v>368</v>
      </c>
    </row>
    <row r="50" spans="2:32" x14ac:dyDescent="0.2">
      <c r="B50" s="36" t="s">
        <v>318</v>
      </c>
      <c r="C50" s="36"/>
      <c r="D50" s="36"/>
      <c r="E50" s="36"/>
      <c r="F50" s="36"/>
      <c r="G50" s="36"/>
      <c r="L50" t="s">
        <v>369</v>
      </c>
      <c r="V50" t="s">
        <v>369</v>
      </c>
    </row>
    <row r="53" spans="2:32" x14ac:dyDescent="0.2">
      <c r="B53" s="16" t="s">
        <v>324</v>
      </c>
      <c r="L53" s="16" t="s">
        <v>370</v>
      </c>
      <c r="V53" s="16" t="s">
        <v>408</v>
      </c>
    </row>
    <row r="54" spans="2:32" ht="18" x14ac:dyDescent="0.25">
      <c r="B54" s="44" t="s">
        <v>325</v>
      </c>
      <c r="C54" s="45"/>
      <c r="D54" s="45"/>
      <c r="E54" s="45"/>
      <c r="F54" s="45"/>
      <c r="G54" s="45"/>
      <c r="H54" s="45"/>
      <c r="I54" s="45"/>
      <c r="J54" s="45"/>
      <c r="K54" s="45"/>
      <c r="L54" s="52" t="s">
        <v>371</v>
      </c>
      <c r="M54" s="45"/>
      <c r="N54" s="45"/>
      <c r="O54" s="45"/>
      <c r="P54" s="45"/>
      <c r="Q54" s="45"/>
      <c r="R54" s="45"/>
      <c r="S54" s="45"/>
      <c r="T54" s="45"/>
      <c r="U54" s="45"/>
      <c r="V54" s="46" t="s">
        <v>325</v>
      </c>
      <c r="W54" s="45"/>
      <c r="X54" s="45"/>
      <c r="Y54" s="45"/>
      <c r="Z54" s="45"/>
      <c r="AA54" s="45"/>
      <c r="AB54" s="45"/>
      <c r="AC54" s="45"/>
      <c r="AD54" s="45"/>
      <c r="AE54" s="45"/>
      <c r="AF54" s="47">
        <v>21</v>
      </c>
    </row>
    <row r="55" spans="2:32" x14ac:dyDescent="0.2">
      <c r="B55" s="36" t="s">
        <v>326</v>
      </c>
      <c r="C55" s="36"/>
      <c r="D55" s="36"/>
      <c r="E55" s="36"/>
      <c r="F55" s="36"/>
      <c r="G55" s="36"/>
      <c r="L55" t="s">
        <v>372</v>
      </c>
      <c r="V55" t="s">
        <v>326</v>
      </c>
    </row>
    <row r="56" spans="2:32" x14ac:dyDescent="0.2">
      <c r="B56" s="36" t="s">
        <v>327</v>
      </c>
      <c r="C56" s="36"/>
      <c r="D56" s="36"/>
      <c r="E56" s="36"/>
      <c r="F56" s="36"/>
      <c r="G56" s="36"/>
      <c r="L56" t="s">
        <v>373</v>
      </c>
      <c r="V56" t="s">
        <v>327</v>
      </c>
    </row>
    <row r="57" spans="2:32" x14ac:dyDescent="0.2">
      <c r="B57" s="36" t="s">
        <v>328</v>
      </c>
      <c r="C57" s="36"/>
      <c r="D57" s="36"/>
      <c r="E57" s="36"/>
      <c r="F57" s="36"/>
      <c r="G57" s="36"/>
      <c r="L57" t="s">
        <v>374</v>
      </c>
      <c r="V57" t="s">
        <v>328</v>
      </c>
    </row>
    <row r="60" spans="2:32" x14ac:dyDescent="0.2">
      <c r="B60" s="16" t="s">
        <v>329</v>
      </c>
      <c r="L60" s="16" t="s">
        <v>375</v>
      </c>
      <c r="V60" s="16" t="s">
        <v>409</v>
      </c>
    </row>
    <row r="61" spans="2:32" ht="18" x14ac:dyDescent="0.25">
      <c r="B61" s="44" t="s">
        <v>330</v>
      </c>
      <c r="C61" s="45"/>
      <c r="D61" s="45"/>
      <c r="E61" s="45"/>
      <c r="F61" s="45"/>
      <c r="G61" s="45"/>
      <c r="H61" s="45"/>
      <c r="I61" s="45"/>
      <c r="J61" s="45"/>
      <c r="K61" s="45"/>
      <c r="L61" s="49" t="s">
        <v>376</v>
      </c>
      <c r="M61" s="45"/>
      <c r="N61" s="45"/>
      <c r="O61" s="45"/>
      <c r="P61" s="45"/>
      <c r="Q61" s="45"/>
      <c r="R61" s="45"/>
      <c r="S61" s="45"/>
      <c r="T61" s="45"/>
      <c r="U61" s="45"/>
      <c r="V61" s="46" t="s">
        <v>330</v>
      </c>
      <c r="W61" s="45"/>
      <c r="X61" s="45"/>
      <c r="Y61" s="45"/>
      <c r="Z61" s="45"/>
      <c r="AA61" s="45"/>
      <c r="AB61" s="45"/>
      <c r="AC61" s="45"/>
      <c r="AD61" s="45"/>
      <c r="AE61" s="45"/>
      <c r="AF61" s="48">
        <v>38.5</v>
      </c>
    </row>
    <row r="62" spans="2:32" x14ac:dyDescent="0.2">
      <c r="B62" s="36" t="s">
        <v>331</v>
      </c>
      <c r="C62" s="36"/>
      <c r="D62" s="36"/>
      <c r="E62" s="36"/>
      <c r="F62" s="36"/>
      <c r="G62" s="36"/>
      <c r="L62" t="s">
        <v>377</v>
      </c>
      <c r="V62" t="s">
        <v>410</v>
      </c>
    </row>
    <row r="63" spans="2:32" x14ac:dyDescent="0.2">
      <c r="B63" s="36" t="s">
        <v>332</v>
      </c>
      <c r="C63" s="36"/>
      <c r="D63" s="36"/>
      <c r="E63" s="36"/>
      <c r="F63" s="36"/>
      <c r="G63" s="36"/>
      <c r="L63" t="s">
        <v>378</v>
      </c>
      <c r="V63" t="s">
        <v>411</v>
      </c>
    </row>
    <row r="64" spans="2:32" x14ac:dyDescent="0.2">
      <c r="B64" s="36" t="s">
        <v>333</v>
      </c>
      <c r="C64" s="36"/>
      <c r="D64" s="36"/>
      <c r="E64" s="36"/>
      <c r="F64" s="36"/>
      <c r="G64" s="36"/>
      <c r="L64" t="s">
        <v>379</v>
      </c>
      <c r="V64" t="s">
        <v>412</v>
      </c>
    </row>
    <row r="67" spans="2:32" x14ac:dyDescent="0.2">
      <c r="B67" s="16" t="s">
        <v>334</v>
      </c>
      <c r="L67" s="16" t="s">
        <v>380</v>
      </c>
      <c r="V67" s="16" t="s">
        <v>413</v>
      </c>
    </row>
    <row r="68" spans="2:32" ht="18" x14ac:dyDescent="0.25">
      <c r="B68" s="44" t="s">
        <v>335</v>
      </c>
      <c r="C68" s="45"/>
      <c r="D68" s="45"/>
      <c r="E68" s="45"/>
      <c r="F68" s="45"/>
      <c r="G68" s="45"/>
      <c r="H68" s="45"/>
      <c r="I68" s="45"/>
      <c r="J68" s="45"/>
      <c r="K68" s="45"/>
      <c r="L68" s="49" t="s">
        <v>381</v>
      </c>
      <c r="M68" s="45"/>
      <c r="N68" s="45"/>
      <c r="O68" s="45"/>
      <c r="P68" s="45"/>
      <c r="Q68" s="45"/>
      <c r="R68" s="45"/>
      <c r="S68" s="45"/>
      <c r="T68" s="45"/>
      <c r="U68" s="45"/>
      <c r="V68" s="46" t="s">
        <v>335</v>
      </c>
      <c r="W68" s="45"/>
      <c r="X68" s="45"/>
      <c r="Y68" s="45"/>
      <c r="Z68" s="45"/>
      <c r="AA68" s="45"/>
      <c r="AB68" s="45"/>
      <c r="AC68" s="45"/>
      <c r="AD68" s="45"/>
      <c r="AE68" s="45"/>
      <c r="AF68" s="47">
        <v>48</v>
      </c>
    </row>
    <row r="69" spans="2:32" x14ac:dyDescent="0.2">
      <c r="B69" s="36" t="s">
        <v>336</v>
      </c>
      <c r="C69" s="36"/>
      <c r="D69" s="36"/>
      <c r="E69" s="36"/>
      <c r="F69" s="36"/>
      <c r="G69" s="36"/>
      <c r="L69" t="s">
        <v>382</v>
      </c>
      <c r="V69" t="s">
        <v>336</v>
      </c>
    </row>
    <row r="70" spans="2:32" x14ac:dyDescent="0.2">
      <c r="B70" s="36" t="s">
        <v>337</v>
      </c>
      <c r="C70" s="36"/>
      <c r="D70" s="36"/>
      <c r="E70" s="36"/>
      <c r="F70" s="36"/>
      <c r="G70" s="36"/>
      <c r="L70" t="s">
        <v>383</v>
      </c>
      <c r="V70" t="s">
        <v>337</v>
      </c>
    </row>
    <row r="71" spans="2:32" x14ac:dyDescent="0.2">
      <c r="B71" s="36" t="s">
        <v>338</v>
      </c>
      <c r="C71" s="36"/>
      <c r="D71" s="36"/>
      <c r="E71" s="36"/>
      <c r="F71" s="36"/>
      <c r="G71" s="36"/>
      <c r="L71" t="s">
        <v>384</v>
      </c>
      <c r="V71" t="s">
        <v>338</v>
      </c>
    </row>
    <row r="74" spans="2:32" x14ac:dyDescent="0.2">
      <c r="B74" s="16" t="s">
        <v>339</v>
      </c>
      <c r="L74" s="16" t="s">
        <v>385</v>
      </c>
      <c r="V74" s="16" t="s">
        <v>414</v>
      </c>
    </row>
    <row r="75" spans="2:32" ht="18" x14ac:dyDescent="0.25">
      <c r="B75" s="44" t="s">
        <v>340</v>
      </c>
      <c r="C75" s="45"/>
      <c r="D75" s="45"/>
      <c r="E75" s="45"/>
      <c r="F75" s="45"/>
      <c r="G75" s="45"/>
      <c r="H75" s="45"/>
      <c r="I75" s="45"/>
      <c r="J75" s="45"/>
      <c r="K75" s="45"/>
      <c r="L75" s="46" t="s">
        <v>228</v>
      </c>
      <c r="M75" s="45"/>
      <c r="N75" s="45"/>
      <c r="O75" s="45"/>
      <c r="P75" s="45"/>
      <c r="Q75" s="45"/>
      <c r="R75" s="45"/>
      <c r="S75" s="45"/>
      <c r="T75" s="45"/>
      <c r="U75" s="45"/>
      <c r="V75" s="49" t="s">
        <v>415</v>
      </c>
      <c r="W75" s="45"/>
      <c r="X75" s="45"/>
      <c r="Y75" s="45"/>
      <c r="Z75" s="45"/>
      <c r="AA75" s="45"/>
      <c r="AB75" s="45"/>
      <c r="AC75" s="45"/>
      <c r="AD75" s="45"/>
      <c r="AE75" s="45"/>
      <c r="AF75" s="51">
        <v>23.7</v>
      </c>
    </row>
    <row r="76" spans="2:32" x14ac:dyDescent="0.2">
      <c r="B76" s="36" t="s">
        <v>341</v>
      </c>
      <c r="C76" s="36"/>
      <c r="D76" s="36"/>
      <c r="E76" s="36"/>
      <c r="F76" s="36"/>
      <c r="G76" s="36"/>
      <c r="L76" t="s">
        <v>386</v>
      </c>
      <c r="V76" t="s">
        <v>416</v>
      </c>
    </row>
    <row r="77" spans="2:32" x14ac:dyDescent="0.2">
      <c r="B77" s="36" t="s">
        <v>342</v>
      </c>
      <c r="C77" s="36"/>
      <c r="D77" s="36"/>
      <c r="E77" s="36"/>
      <c r="F77" s="36"/>
      <c r="G77" s="36"/>
      <c r="L77" t="s">
        <v>387</v>
      </c>
      <c r="V77" t="s">
        <v>417</v>
      </c>
    </row>
    <row r="78" spans="2:32" x14ac:dyDescent="0.2">
      <c r="B78" s="36" t="s">
        <v>343</v>
      </c>
      <c r="C78" s="36"/>
      <c r="D78" s="36"/>
      <c r="E78" s="36"/>
      <c r="F78" s="36"/>
      <c r="G78" s="36"/>
      <c r="L78" t="s">
        <v>388</v>
      </c>
      <c r="V78" t="s">
        <v>418</v>
      </c>
    </row>
    <row r="81" spans="12:32" x14ac:dyDescent="0.2">
      <c r="L81" s="16" t="s">
        <v>389</v>
      </c>
      <c r="V81" s="16" t="s">
        <v>398</v>
      </c>
    </row>
    <row r="82" spans="12:32" ht="18" x14ac:dyDescent="0.25">
      <c r="L82" s="44" t="s">
        <v>277</v>
      </c>
      <c r="M82" s="45"/>
      <c r="N82" s="45"/>
      <c r="O82" s="45"/>
      <c r="P82" s="45"/>
      <c r="Q82" s="45"/>
      <c r="R82" s="45"/>
      <c r="S82" s="45"/>
      <c r="T82" s="45"/>
      <c r="U82" s="45"/>
      <c r="V82" s="49" t="s">
        <v>399</v>
      </c>
      <c r="W82" s="45"/>
      <c r="X82" s="45"/>
      <c r="Y82" s="45"/>
      <c r="Z82" s="45"/>
      <c r="AA82" s="45"/>
      <c r="AB82" s="45"/>
      <c r="AC82" s="45"/>
      <c r="AD82" s="45"/>
      <c r="AE82" s="45"/>
      <c r="AF82" s="48">
        <v>24.3</v>
      </c>
    </row>
    <row r="83" spans="12:32" x14ac:dyDescent="0.2">
      <c r="L83" t="s">
        <v>390</v>
      </c>
      <c r="V83" t="s">
        <v>400</v>
      </c>
    </row>
    <row r="84" spans="12:32" x14ac:dyDescent="0.2">
      <c r="L84" t="s">
        <v>391</v>
      </c>
      <c r="V84" t="s">
        <v>401</v>
      </c>
    </row>
    <row r="85" spans="12:32" x14ac:dyDescent="0.2">
      <c r="L85" t="s">
        <v>392</v>
      </c>
      <c r="V85" t="s">
        <v>402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BA2A-67C5-4966-9751-0A8F399B608A}">
  <dimension ref="B2:B36"/>
  <sheetViews>
    <sheetView topLeftCell="A10" workbookViewId="0">
      <selection activeCell="N34" sqref="N34"/>
    </sheetView>
  </sheetViews>
  <sheetFormatPr defaultRowHeight="14.25" x14ac:dyDescent="0.2"/>
  <cols>
    <col min="1" max="1" width="5.75" customWidth="1"/>
  </cols>
  <sheetData>
    <row r="2" spans="2:2" x14ac:dyDescent="0.2">
      <c r="B2" t="s">
        <v>420</v>
      </c>
    </row>
    <row r="3" spans="2:2" x14ac:dyDescent="0.2">
      <c r="B3" t="s">
        <v>421</v>
      </c>
    </row>
    <row r="4" spans="2:2" x14ac:dyDescent="0.2">
      <c r="B4" t="s">
        <v>422</v>
      </c>
    </row>
    <row r="5" spans="2:2" x14ac:dyDescent="0.2">
      <c r="B5" t="s">
        <v>423</v>
      </c>
    </row>
    <row r="6" spans="2:2" x14ac:dyDescent="0.2">
      <c r="B6" t="s">
        <v>424</v>
      </c>
    </row>
    <row r="7" spans="2:2" x14ac:dyDescent="0.2">
      <c r="B7" t="s">
        <v>425</v>
      </c>
    </row>
    <row r="8" spans="2:2" x14ac:dyDescent="0.2">
      <c r="B8" t="s">
        <v>426</v>
      </c>
    </row>
    <row r="9" spans="2:2" x14ac:dyDescent="0.2">
      <c r="B9" t="s">
        <v>427</v>
      </c>
    </row>
    <row r="10" spans="2:2" x14ac:dyDescent="0.2">
      <c r="B10" t="s">
        <v>428</v>
      </c>
    </row>
    <row r="11" spans="2:2" x14ac:dyDescent="0.2">
      <c r="B11" t="s">
        <v>429</v>
      </c>
    </row>
    <row r="12" spans="2:2" x14ac:dyDescent="0.2">
      <c r="B12" t="s">
        <v>430</v>
      </c>
    </row>
    <row r="14" spans="2:2" x14ac:dyDescent="0.2">
      <c r="B14" t="s">
        <v>431</v>
      </c>
    </row>
    <row r="15" spans="2:2" x14ac:dyDescent="0.2">
      <c r="B15" t="s">
        <v>432</v>
      </c>
    </row>
    <row r="16" spans="2:2" x14ac:dyDescent="0.2">
      <c r="B16" t="s">
        <v>433</v>
      </c>
    </row>
    <row r="17" spans="2:2" x14ac:dyDescent="0.2">
      <c r="B17" t="s">
        <v>434</v>
      </c>
    </row>
    <row r="18" spans="2:2" x14ac:dyDescent="0.2">
      <c r="B18" t="s">
        <v>435</v>
      </c>
    </row>
    <row r="19" spans="2:2" x14ac:dyDescent="0.2">
      <c r="B19" t="s">
        <v>436</v>
      </c>
    </row>
    <row r="20" spans="2:2" x14ac:dyDescent="0.2">
      <c r="B20" t="s">
        <v>437</v>
      </c>
    </row>
    <row r="23" spans="2:2" x14ac:dyDescent="0.2">
      <c r="B23" t="s">
        <v>438</v>
      </c>
    </row>
    <row r="24" spans="2:2" x14ac:dyDescent="0.2">
      <c r="B24" t="s">
        <v>439</v>
      </c>
    </row>
    <row r="25" spans="2:2" x14ac:dyDescent="0.2">
      <c r="B25" t="s">
        <v>440</v>
      </c>
    </row>
    <row r="26" spans="2:2" x14ac:dyDescent="0.2">
      <c r="B26" t="s">
        <v>441</v>
      </c>
    </row>
    <row r="28" spans="2:2" x14ac:dyDescent="0.2">
      <c r="B28" t="s">
        <v>442</v>
      </c>
    </row>
    <row r="29" spans="2:2" x14ac:dyDescent="0.2">
      <c r="B29" t="s">
        <v>443</v>
      </c>
    </row>
    <row r="30" spans="2:2" x14ac:dyDescent="0.2">
      <c r="B30" t="s">
        <v>444</v>
      </c>
    </row>
    <row r="31" spans="2:2" x14ac:dyDescent="0.2">
      <c r="B31" t="s">
        <v>445</v>
      </c>
    </row>
    <row r="32" spans="2:2" x14ac:dyDescent="0.2">
      <c r="B32" t="s">
        <v>446</v>
      </c>
    </row>
    <row r="33" spans="2:2" x14ac:dyDescent="0.2">
      <c r="B33" t="s">
        <v>447</v>
      </c>
    </row>
    <row r="34" spans="2:2" x14ac:dyDescent="0.2">
      <c r="B34" t="s">
        <v>448</v>
      </c>
    </row>
    <row r="36" spans="2:2" x14ac:dyDescent="0.2">
      <c r="B36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2025-09-12</vt:lpstr>
      <vt:lpstr>2025-09-15 (เช้า)</vt:lpstr>
      <vt:lpstr>2025-09-15 (บ่าย)</vt:lpstr>
      <vt:lpstr>2025-09-16 (เช้า)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2025-09-13T04:59:59Z</dcterms:created>
  <dcterms:modified xsi:type="dcterms:W3CDTF">2025-09-16T07:30:40Z</dcterms:modified>
</cp:coreProperties>
</file>